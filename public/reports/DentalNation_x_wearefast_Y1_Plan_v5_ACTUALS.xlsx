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af1136f4df1466/Desktop/Dental-nation/plan-materials/Faisal-evaluation/"/>
    </mc:Choice>
  </mc:AlternateContent>
  <xr:revisionPtr revIDLastSave="6" documentId="11_6815731C3B78D2D370E1C7C8EA4E372D028A3AF0" xr6:coauthVersionLast="47" xr6:coauthVersionMax="47" xr10:uidLastSave="{DFBCE596-7DD4-4EFD-84BB-11DC9387BD4F}"/>
  <bookViews>
    <workbookView xWindow="-108" yWindow="-108" windowWidth="23256" windowHeight="12456" tabRatio="500" xr2:uid="{00000000-000D-0000-FFFF-FFFF00000000}"/>
  </bookViews>
  <sheets>
    <sheet name="00_Cover" sheetId="1" r:id="rId1"/>
    <sheet name="01_Executive Summary" sheetId="2" r:id="rId2"/>
    <sheet name="02_Lane Model" sheetId="3" r:id="rId3"/>
    <sheet name="03_Readiness &amp; Gaps" sheetId="4" r:id="rId4"/>
    <sheet name="04_Spend Capacity" sheetId="5" r:id="rId5"/>
    <sheet name="05_12M Plan" sheetId="6" r:id="rId6"/>
    <sheet name="06_wearefast Unlocks" sheetId="7" r:id="rId7"/>
    <sheet name="07_Park Register" sheetId="8" r:id="rId8"/>
    <sheet name="08_Offer Lanes" sheetId="9" r:id="rId9"/>
    <sheet name="09_Commercial Model" sheetId="10" r:id="rId10"/>
    <sheet name="10_Actuals Tracker" sheetId="11" r:id="rId11"/>
    <sheet name="11_Clinic Capacity" sheetId="12" r:id="rId12"/>
    <sheet name="12_KPIs &amp; Governance" sheetId="13" r:id="rId13"/>
    <sheet name="13_Assumptions &amp; Sourc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2" l="1"/>
  <c r="E17" i="12"/>
  <c r="D17" i="12"/>
  <c r="C17" i="12"/>
  <c r="G16" i="12"/>
  <c r="G15" i="12"/>
  <c r="G14" i="12"/>
  <c r="G13" i="12"/>
  <c r="G17" i="12" s="1"/>
  <c r="H31" i="11"/>
  <c r="H30" i="11"/>
  <c r="H29" i="11"/>
  <c r="H28" i="11"/>
  <c r="H27" i="11"/>
  <c r="H26" i="11"/>
  <c r="C19" i="11"/>
  <c r="C9" i="11"/>
  <c r="C18" i="11" s="1"/>
  <c r="C23" i="10"/>
  <c r="D22" i="10"/>
  <c r="E22" i="10" s="1"/>
  <c r="D21" i="10"/>
  <c r="F21" i="10" s="1"/>
  <c r="F20" i="10"/>
  <c r="D20" i="10"/>
  <c r="E20" i="10" s="1"/>
  <c r="D19" i="10"/>
  <c r="D23" i="10" s="1"/>
  <c r="D41" i="5"/>
  <c r="H26" i="5"/>
  <c r="G26" i="5"/>
  <c r="F26" i="5"/>
  <c r="E26" i="5"/>
  <c r="D26" i="5"/>
  <c r="G25" i="5"/>
  <c r="F25" i="5"/>
  <c r="E25" i="5"/>
  <c r="D25" i="5"/>
  <c r="F24" i="5"/>
  <c r="E24" i="5"/>
  <c r="D24" i="5"/>
  <c r="H23" i="5"/>
  <c r="G23" i="5"/>
  <c r="F23" i="5"/>
  <c r="E23" i="5"/>
  <c r="D23" i="5"/>
  <c r="F19" i="5"/>
  <c r="C17" i="2" s="1"/>
  <c r="E19" i="5"/>
  <c r="C16" i="2" s="1"/>
  <c r="D19" i="5"/>
  <c r="C21" i="11" s="1"/>
  <c r="H18" i="5"/>
  <c r="G18" i="5"/>
  <c r="H17" i="5"/>
  <c r="G17" i="5"/>
  <c r="H16" i="5"/>
  <c r="G16" i="5"/>
  <c r="H15" i="5"/>
  <c r="G15" i="5"/>
  <c r="H14" i="5"/>
  <c r="G14" i="5"/>
  <c r="H13" i="5"/>
  <c r="H25" i="5" s="1"/>
  <c r="G13" i="5"/>
  <c r="H12" i="5"/>
  <c r="G12" i="5"/>
  <c r="H11" i="5"/>
  <c r="H19" i="5" s="1"/>
  <c r="G11" i="5"/>
  <c r="H10" i="5"/>
  <c r="H24" i="5" s="1"/>
  <c r="G10" i="5"/>
  <c r="G24" i="5" s="1"/>
  <c r="H9" i="5"/>
  <c r="G9" i="5"/>
  <c r="H8" i="5"/>
  <c r="G8" i="5"/>
  <c r="H7" i="5"/>
  <c r="G7" i="5"/>
  <c r="G19" i="5" s="1"/>
  <c r="C28" i="3"/>
  <c r="H27" i="3"/>
  <c r="G27" i="3"/>
  <c r="F27" i="3"/>
  <c r="D27" i="3"/>
  <c r="E27" i="3" s="1"/>
  <c r="H26" i="3"/>
  <c r="G26" i="3"/>
  <c r="D26" i="3"/>
  <c r="F26" i="3" s="1"/>
  <c r="H25" i="3"/>
  <c r="D25" i="3"/>
  <c r="D28" i="3" s="1"/>
  <c r="D21" i="3"/>
  <c r="C21" i="3"/>
  <c r="D20" i="3"/>
  <c r="D19" i="3"/>
  <c r="D18" i="3"/>
  <c r="D17" i="3"/>
  <c r="D16" i="3"/>
  <c r="D9" i="3"/>
  <c r="D10" i="3" s="1"/>
  <c r="D8" i="3"/>
  <c r="F8" i="3" s="1"/>
  <c r="F7" i="3"/>
  <c r="C35" i="2"/>
  <c r="C34" i="2"/>
  <c r="C18" i="2"/>
  <c r="C7" i="2"/>
  <c r="C20" i="11" l="1"/>
  <c r="C22" i="11" s="1"/>
  <c r="C37" i="2" s="1"/>
  <c r="H20" i="10"/>
  <c r="G20" i="10"/>
  <c r="C8" i="2"/>
  <c r="D11" i="3"/>
  <c r="F10" i="3"/>
  <c r="D49" i="5"/>
  <c r="C19" i="2" s="1"/>
  <c r="E47" i="5"/>
  <c r="E46" i="5"/>
  <c r="E45" i="5"/>
  <c r="H22" i="10"/>
  <c r="E19" i="10"/>
  <c r="F22" i="10"/>
  <c r="G22" i="10" s="1"/>
  <c r="F19" i="10"/>
  <c r="F25" i="3"/>
  <c r="F28" i="3" s="1"/>
  <c r="F9" i="3"/>
  <c r="E25" i="3"/>
  <c r="E26" i="3"/>
  <c r="G25" i="3"/>
  <c r="G28" i="3" s="1"/>
  <c r="E21" i="10"/>
  <c r="C15" i="2"/>
  <c r="E23" i="10" l="1"/>
  <c r="H19" i="10"/>
  <c r="G19" i="10"/>
  <c r="F23" i="10"/>
  <c r="H21" i="10"/>
  <c r="G21" i="10"/>
  <c r="E28" i="3"/>
  <c r="E19" i="3"/>
  <c r="F11" i="3"/>
  <c r="E18" i="3"/>
  <c r="E16" i="3"/>
  <c r="E20" i="3"/>
  <c r="E17" i="3"/>
  <c r="D12" i="3"/>
  <c r="C10" i="2" s="1"/>
  <c r="C9" i="2"/>
  <c r="G23" i="10" l="1"/>
  <c r="E21" i="3"/>
  <c r="H23" i="10"/>
  <c r="D58" i="5" l="1"/>
  <c r="D57" i="5"/>
  <c r="D59" i="5"/>
</calcChain>
</file>

<file path=xl/sharedStrings.xml><?xml version="1.0" encoding="utf-8"?>
<sst xmlns="http://schemas.openxmlformats.org/spreadsheetml/2006/main" count="891" uniqueCount="762">
  <si>
    <t>DENTAL NATION × WEAREFAST.IO</t>
  </si>
  <si>
    <t>Year-1 Marketing Plan · Spend Capacity · Unlock Map</t>
  </si>
  <si>
    <t>Prepared for Faisal, Founder — wearefast.io  |  Prepared by Dental Nation Growth  |  July 2026</t>
  </si>
  <si>
    <t>The answer first</t>
  </si>
  <si>
    <t>Dental Nation runs a proven 5-lane demand engine (2,500 leads/mo → 500 patients → AED 500K/mo) with launch infrastructure fully live. Year-1 spend capacity is AED 5.3M base case. Two partners plug in: wearefast.io closes capability gaps (design pod, video/podcast studio, UGC production, PR), and ArabyAds runs the affiliate/influencer/demand-gen program on a CPL model from next week. This file is the alignment document for that engagement.</t>
  </si>
  <si>
    <t>Operating principle</t>
  </si>
  <si>
    <t>Blocked initiatives never stall the programme. They are PARKED with a written resume trigger and effort redeploys to the next-highest-impact active item. See 07_Park Register.</t>
  </si>
  <si>
    <t>What is already live</t>
  </si>
  <si>
    <t>Website + LPs live · Ad account structure ready on all platforms · EMR + granular tracking dashboard · Domain control across all clinic sites · 5-lane execution model operating (Lanes B/D/C live, J and E in activation) · Organic posting running.</t>
  </si>
  <si>
    <t>Known gaps</t>
  </si>
  <si>
    <t>No dedicated design team · No videographer / podcast content team · Creator/UGC cadence below plan. These are the wearefast.io unlock candidates (06_wearefast Unlocks).</t>
  </si>
  <si>
    <t>The decision we need</t>
  </si>
  <si>
    <t>Confirm which unlocks wearefast.io owns and from which month, so the Q-by-Q plan locks and paid spend releases against the gates in 04_Spend Capacity.</t>
  </si>
  <si>
    <t>HOW TO READ THIS FILE</t>
  </si>
  <si>
    <t>01_Executive Summary</t>
  </si>
  <si>
    <t>The plan, the money, the ask — one screen.</t>
  </si>
  <si>
    <t>02_Lane Model</t>
  </si>
  <si>
    <t>The 5-lane demand engine: funnel math, lane targets, clinic × channel allocation.</t>
  </si>
  <si>
    <t>03_Readiness &amp; Gaps</t>
  </si>
  <si>
    <t>Bandwidth audit: live / partial / gap, and who covers each.</t>
  </si>
  <si>
    <t>04_Spend Capacity</t>
  </si>
  <si>
    <t>Monthly/quarterly envelope, one-time costs, scenarios, return economics.</t>
  </si>
  <si>
    <t>05_12M Plan</t>
  </si>
  <si>
    <t>Quarter-by-quarter execution with DN / FST / ARB ownership and P0–P2 priorities.</t>
  </si>
  <si>
    <t>06_wearefast Unlocks</t>
  </si>
  <si>
    <t>Each gap → what wearefast.io unlocks, when, and the partner ecosystem map.</t>
  </si>
  <si>
    <t>07_Park Register</t>
  </si>
  <si>
    <t>Park/resume logic + current register of blocked items.</t>
  </si>
  <si>
    <t>08_Offer Lanes</t>
  </si>
  <si>
    <t>Canonical offers per lane (DN First Look, DN SOS, DN Plan, DN Scan, DN Glow Up) + creative guardrails.</t>
  </si>
  <si>
    <t>09_Commercial Model</t>
  </si>
  <si>
    <t>Anchor–Ladder economics: arrivals → cases → revenue, with defensible high-value mix.</t>
  </si>
  <si>
    <t>10_Actuals Tracker</t>
  </si>
  <si>
    <t>Plan vs actual spend/CPL by channel (input cells for MTD actuals).</t>
  </si>
  <si>
    <t>11_Clinic Capacity</t>
  </si>
  <si>
    <t>Capacity by clinic, utilisation targets, media throttle rules.</t>
  </si>
  <si>
    <t>12_KPIs &amp; Governance</t>
  </si>
  <si>
    <t>Targets, guardrails, decision protocol, partner cadence, first-meeting agenda.</t>
  </si>
  <si>
    <t>13_Assumptions &amp; Sources</t>
  </si>
  <si>
    <t>Funnel math, CPL basis, and source files behind every number.</t>
  </si>
  <si>
    <t>EXECUTIVE SUMMARY</t>
  </si>
  <si>
    <t>Answer first: the engine works, capacity is funded, three gaps cap velocity — that is the wearefast.io mandate.</t>
  </si>
  <si>
    <t>1. THE OPERATING MODEL (ACTIVE NOW — see 02_Lane Model)</t>
  </si>
  <si>
    <t>Metric</t>
  </si>
  <si>
    <t>Value</t>
  </si>
  <si>
    <t>Note</t>
  </si>
  <si>
    <t>Qualified leads / month</t>
  </si>
  <si>
    <t>5 lanes across 3 clinics: Dr. Tosun 1,000 · Al Wasl 1,000 · AMC 500</t>
  </si>
  <si>
    <t>New patients / month</t>
  </si>
  <si>
    <t>Funnel: 60% book × 70% show × 48% accept ≈ 20% lead→patient</t>
  </si>
  <si>
    <t>Revenue / month (AED)</t>
  </si>
  <si>
    <t>Avg revenue per patient AED 1,000</t>
  </si>
  <si>
    <t>Annual run rate (AED)</t>
  </si>
  <si>
    <t>Monthly × 12</t>
  </si>
  <si>
    <t>Consistency check: the Rescue-plan funnel (≈20% lead→patient) and the Y1 annual model (20% QL→arrival) converge on the same conversion economics — two independent builds, one answer.</t>
  </si>
  <si>
    <t>2. YEAR-1 SPEND CAPACITY (see 04_Spend Capacity)</t>
  </si>
  <si>
    <t>Value (AED)</t>
  </si>
  <si>
    <t>Year-1 paid media envelope</t>
  </si>
  <si>
    <t>H1 ≈ 1.34M · H2 ≈ 2.15M; released only when gates met</t>
  </si>
  <si>
    <t>Year-1 organic engine (effort valuation)</t>
  </si>
  <si>
    <t>SEO/local, referrals, corporate, reactivation, PR</t>
  </si>
  <si>
    <t>Fixed stack (12 months)</t>
  </si>
  <si>
    <t>AED 14,350/mo tools &amp; tracking run-rate</t>
  </si>
  <si>
    <t>One-time setup &amp; platform costs</t>
  </si>
  <si>
    <t>Site, tracking, EMR, AI call center, agency onboarding</t>
  </si>
  <si>
    <t>TOTAL YEAR-1 CAPACITY (BASE)</t>
  </si>
  <si>
    <t>The number to scope wearefast.io against</t>
  </si>
  <si>
    <t>Weighted paid CPL target</t>
  </si>
  <si>
    <t>≤150 by Month 6; per-channel basis in 13_Assumptions &amp; Sources</t>
  </si>
  <si>
    <t>3. STRENGTHS vs GAPS</t>
  </si>
  <si>
    <t>Ready today</t>
  </si>
  <si>
    <t>Gaps → wearefast.io unlocks</t>
  </si>
  <si>
    <t>· Website live; conversion LPs in place</t>
  </si>
  <si>
    <t>· Dedicated design pod (ads, LPs, brand kits, motion)</t>
  </si>
  <si>
    <t>· Ad account structure ready on all platforms</t>
  </si>
  <si>
    <t>· Videographer / podcast content studio</t>
  </si>
  <si>
    <t>· EMR + granular tracking dashboard live</t>
  </si>
  <si>
    <t>· Creator network + UGC production cadence</t>
  </si>
  <si>
    <t>· 5-lane model operating; Lanes B/D/C live</t>
  </si>
  <si>
    <t>· PR reach (influencer activation now covered by ArabyAds)</t>
  </si>
  <si>
    <t>· Domain control across all clinic sites</t>
  </si>
  <si>
    <t>· Media scale support at higher spend tiers</t>
  </si>
  <si>
    <t>4. THE ASK TO FAISAL</t>
  </si>
  <si>
    <t>Confirm the unlocks in 06_wearefast Unlocks (owner + start month). Anything wearefast.io cannot cover is parked per 07_Park Register — no programme stall. Spend releases per the gates in 04_Spend Capacity; actuals reviewed against 10_Actuals Tracker at every sync.</t>
  </si>
  <si>
    <t>5. WHERE WE ARE TODAY (DASHBOARD ACTUALS)</t>
  </si>
  <si>
    <t>Spend to date (Meta + Google)</t>
  </si>
  <si>
    <t>Only generic Google Search + GMB (Al Wasl) active; no lane-based paid</t>
  </si>
  <si>
    <t>Leads / blended CPL</t>
  </si>
  <si>
    <t>242 leads at AED 361/lead vs AED 161 target — the creative gap, live</t>
  </si>
  <si>
    <t>Clinic revenue / avg bill</t>
  </si>
  <si>
    <t>AED 941 avg bill validates the commercial model input</t>
  </si>
  <si>
    <t>Annual value of creative unlock (AED)</t>
  </si>
  <si>
    <t>What closing the CPL gap is worth per year — the wearefast.io business case in one number</t>
  </si>
  <si>
    <t>THE 5-LANE DEMAND ENGINE</t>
  </si>
  <si>
    <t>Active operating model (Revenue Rescue Plan). Blue = editable assumptions; black = formulas.</t>
  </si>
  <si>
    <t>A. GROUP FUNNEL (MONTHLY)</t>
  </si>
  <si>
    <t>Stage</t>
  </si>
  <si>
    <t>Rate</t>
  </si>
  <si>
    <t>Volume</t>
  </si>
  <si>
    <t>Per day (÷30)</t>
  </si>
  <si>
    <t>Qualified leads</t>
  </si>
  <si>
    <t>—</t>
  </si>
  <si>
    <t>83/day across 3 clinics</t>
  </si>
  <si>
    <t>Booked</t>
  </si>
  <si>
    <t>Front desk 5-min response + mandatory booking script (Lanie)</t>
  </si>
  <si>
    <t>Showed</t>
  </si>
  <si>
    <t>Show-rate protocol + WhatsApp reminders</t>
  </si>
  <si>
    <t>Paying patients</t>
  </si>
  <si>
    <t>Treatment acceptance (TC discipline)</t>
  </si>
  <si>
    <t>Rate column = avg revenue per patient</t>
  </si>
  <si>
    <t>×12</t>
  </si>
  <si>
    <t>B. LANE TARGETS (2,500 LEADS/MONTH)</t>
  </si>
  <si>
    <t>Lane</t>
  </si>
  <si>
    <t>Share</t>
  </si>
  <si>
    <t>Leads/mo</t>
  </si>
  <si>
    <t>Rev/mo (AED)</t>
  </si>
  <si>
    <t>Primary clinic</t>
  </si>
  <si>
    <t>Hook offer</t>
  </si>
  <si>
    <t>Status / activation</t>
  </si>
  <si>
    <t>Lane B — Family &amp; Routine</t>
  </si>
  <si>
    <t>Dr. Tosun</t>
  </si>
  <si>
    <t>New Patient Welcome Check @ 799 AED</t>
  </si>
  <si>
    <t>LIVE — Week 1</t>
  </si>
  <si>
    <t>Lane D — Emergency</t>
  </si>
  <si>
    <t>AMC</t>
  </si>
  <si>
    <t>Emergency Fast-Track @ 699 AED</t>
  </si>
  <si>
    <t>Lane C — Implants</t>
  </si>
  <si>
    <t>Al Wasl</t>
  </si>
  <si>
    <t>Smile in a Day — free CBCT (value 899)</t>
  </si>
  <si>
    <t>Lane J — Ortho</t>
  </si>
  <si>
    <t>All clinics</t>
  </si>
  <si>
    <t>Ortho Smile Assessment @ 499 AED</t>
  </si>
  <si>
    <t>Always-on — Week 2–3</t>
  </si>
  <si>
    <t>Lane E — Lifestyle (Smile Bar)</t>
  </si>
  <si>
    <t>Smile Bar</t>
  </si>
  <si>
    <t>Whitening Flash @ 1,699 AED</t>
  </si>
  <si>
    <t>Soft launch — Week 2–3</t>
  </si>
  <si>
    <t>Total</t>
  </si>
  <si>
    <t>C. CLINIC × CHANNEL ALLOCATION (LEADS/MONTH)</t>
  </si>
  <si>
    <t>Clinic</t>
  </si>
  <si>
    <t>Total leads</t>
  </si>
  <si>
    <t>Digital 70%</t>
  </si>
  <si>
    <t>· Google 40%</t>
  </si>
  <si>
    <t>· Meta 30%</t>
  </si>
  <si>
    <t>· Influencer 30%</t>
  </si>
  <si>
    <t>Reactivation 15% / B2B 15%</t>
  </si>
  <si>
    <t>DN Al Wasl</t>
  </si>
  <si>
    <t>Group</t>
  </si>
  <si>
    <t>Ownership: Digital — Fahad + agency (wearefast.io). Reactivation — Lanie + clinic managers. B2B — Commercial Lead. Accountable: Dr. Luvi. Approval: Mr. Akbar (CEO). Deadline enforcement: Gautam (TMO).</t>
  </si>
  <si>
    <t>READINESS &amp; BANDWIDTH AUDIT</t>
  </si>
  <si>
    <t>What we execute in-house today vs where capacity is missing.</t>
  </si>
  <si>
    <t>Capability</t>
  </si>
  <si>
    <t>Status</t>
  </si>
  <si>
    <t>Detail</t>
  </si>
  <si>
    <t>Covered today by</t>
  </si>
  <si>
    <t>What wearefast.io can unlock</t>
  </si>
  <si>
    <t>Website &amp; landing pages</t>
  </si>
  <si>
    <t>LIVE</t>
  </si>
  <si>
    <t>dentalnation.ae live with conversion-first LPs; lane offer pages delivered to agency for LP design.</t>
  </si>
  <si>
    <t>In-house (Fahad)</t>
  </si>
  <si>
    <t>CRO support + LP variants at campaign velocity.</t>
  </si>
  <si>
    <t>Ad account structure</t>
  </si>
  <si>
    <t>Full architecture ready across Google, Meta, TikTok, YouTube: 12 Google campaigns, 8–10 Meta ad sets, naming, audiences, exclusions.</t>
  </si>
  <si>
    <t>Media scale support once monthly spend passes ~AED 300K.</t>
  </si>
  <si>
    <t>Tracking &amp; measurement</t>
  </si>
  <si>
    <t>EMR + fully functional dashboard, granular attribution (GA4, sGTM, call tracking, WA events).</t>
  </si>
  <si>
    <t>— (wearefast.io gets read access).</t>
  </si>
  <si>
    <t>5-lane execution model</t>
  </si>
  <si>
    <t>PARTIAL</t>
  </si>
  <si>
    <t>Lane model live on ORGANIC social; paid lane campaigns PARKED on creative blocker. Only generic Google Search + GMB (Al Wasl) running paid. Actual blended CPL AED 361 vs 161 target — see 10_Actuals Tracker.</t>
  </si>
  <si>
    <t>Full DN team</t>
  </si>
  <si>
    <t>Creative fuel per lane (see gaps below).</t>
  </si>
  <si>
    <t>Domain &amp; platform control</t>
  </si>
  <si>
    <t>All clinic websites and domains consolidated; DNS/SSL managed.</t>
  </si>
  <si>
    <t>In-house</t>
  </si>
  <si>
    <t>Organic social</t>
  </si>
  <si>
    <t>Posting bits and pieces; cadence below 3 posts/week target.</t>
  </si>
  <si>
    <t>In-house, ad hoc</t>
  </si>
  <si>
    <t>Content engine: calendar, production, editing.</t>
  </si>
  <si>
    <t>Design capability</t>
  </si>
  <si>
    <t>GAP</t>
  </si>
  <si>
    <t>No dedicated design team. CONFIRMED as the live blocker: paid lane campaigns cannot launch; current generic-only paid runs at AED 361 CPL (2.2x target).</t>
  </si>
  <si>
    <t>Not covered</t>
  </si>
  <si>
    <t>Dedicated design pod — highest-priority unlock.</t>
  </si>
  <si>
    <t>Videography &amp; podcast production</t>
  </si>
  <si>
    <t>No videographer. Video content, podcasts, doctor authority content, before/after films, lane-specific reels all unstaffed.</t>
  </si>
  <si>
    <t>Video/podcast studio — content engine for Meta reels, influencer collabs, YouTube, Lane C authority content.</t>
  </si>
  <si>
    <t>Content creators / UGC</t>
  </si>
  <si>
    <t>UGC production for paid creative not staffed (plan calls for 1 reel + 3 stories per creator). ArabyAds covers influencer ACTIVATION; content PRODUCTION remains the gap.</t>
  </si>
  <si>
    <t>Creator network + UGC production for paid creative.</t>
  </si>
  <si>
    <t>Influencer / affiliate demand gen</t>
  </si>
  <si>
    <t>ACTIVATING</t>
  </si>
  <si>
    <t>ArabyAds contracted as affiliate/influencer/demand-gen partner (CPL-based); execution starts next week. PR agency still not finalised.</t>
  </si>
  <si>
    <t>ArabyAds (from next week)</t>
  </si>
  <si>
    <t>wearefast.io: PR placements + creative feed for ArabyAds campaigns.</t>
  </si>
  <si>
    <t>WhatsApp / CRM automation</t>
  </si>
  <si>
    <t>WA Business API live; reactivation blasts running (Lanie); journey automation partially built.</t>
  </si>
  <si>
    <t>In-house (Fahad) + Lanie</t>
  </si>
  <si>
    <t>Optional: CRM ops support; not a launch blocker.</t>
  </si>
  <si>
    <t>Call handling / TC conversion</t>
  </si>
  <si>
    <t>Front desk scripts + 5-min response protocol live; 3-attempt protocol on unconverted leads; AI call management contracted.</t>
  </si>
  <si>
    <t>Lanie + ops</t>
  </si>
  <si>
    <t>Optional: call-center QA framework.</t>
  </si>
  <si>
    <t>Read: launch is NOT blocked — the engine is live and converting. The three gaps (design, video/podcast, creators) cap creative volume, which caps how hard paid can scale. That is precisely the wearefast.io mandate.</t>
  </si>
  <si>
    <t>SPEND CAPACITY — YEAR 1</t>
  </si>
  <si>
    <t>Blue = plan inputs (editable). Black = formulas. All values AED.</t>
  </si>
  <si>
    <t>A. MONTHLY ENVELOPE (BASE CASE)</t>
  </si>
  <si>
    <t>Month</t>
  </si>
  <si>
    <t>Qtr</t>
  </si>
  <si>
    <t>Paid Media</t>
  </si>
  <si>
    <t>Organic Engine</t>
  </si>
  <si>
    <t>Fixed Stack</t>
  </si>
  <si>
    <t>Paid QLs</t>
  </si>
  <si>
    <t>M1</t>
  </si>
  <si>
    <t>Q1</t>
  </si>
  <si>
    <t>Rescue-phase live: Lanes B/D/C campaigns running; Lane J/E activating</t>
  </si>
  <si>
    <t>M2</t>
  </si>
  <si>
    <t>Stabilise Search &amp; PMax; first A/B tests; Lane E soft launch</t>
  </si>
  <si>
    <t>M3</t>
  </si>
  <si>
    <t>Influencer activation wave (15–20 micro, 3–5 macro)</t>
  </si>
  <si>
    <t>M4</t>
  </si>
  <si>
    <t>Q2</t>
  </si>
  <si>
    <t>Scale winners; YouTube Action; site v2 starts</t>
  </si>
  <si>
    <t>M5</t>
  </si>
  <si>
    <t>Audience layering; referral program</t>
  </si>
  <si>
    <t>M6</t>
  </si>
  <si>
    <t>OOH/radio test only if Net CPL ≤ 150</t>
  </si>
  <si>
    <t>M7</t>
  </si>
  <si>
    <t>Q3</t>
  </si>
  <si>
    <t>Media scale support engages (spend &gt; 300K/mo)</t>
  </si>
  <si>
    <t>M8</t>
  </si>
  <si>
    <t>Referral &amp; membership program live</t>
  </si>
  <si>
    <t>M9</t>
  </si>
  <si>
    <t>Aligner finance plan pushes elective mix</t>
  </si>
  <si>
    <t>M10</t>
  </si>
  <si>
    <t>Q4</t>
  </si>
  <si>
    <t>Always-on recall &amp; retention automation</t>
  </si>
  <si>
    <t>M11</t>
  </si>
  <si>
    <t>Corporate renewals &amp; upsells</t>
  </si>
  <si>
    <t>M12</t>
  </si>
  <si>
    <t>Influencer tiers + case-study content expanded</t>
  </si>
  <si>
    <t>Y1</t>
  </si>
  <si>
    <t>Total year-1 running envelope (excl. one-time)</t>
  </si>
  <si>
    <t>B. QUARTERLY ROLLUP</t>
  </si>
  <si>
    <t>Quarter</t>
  </si>
  <si>
    <t>Organic</t>
  </si>
  <si>
    <t>Fixed</t>
  </si>
  <si>
    <t>Paid share of QLs</t>
  </si>
  <si>
    <t>65% (tapers as organic ramps)</t>
  </si>
  <si>
    <t>60% (tapers as organic ramps)</t>
  </si>
  <si>
    <t>55% (tapers as organic ramps)</t>
  </si>
  <si>
    <t>50% (tapers as organic ramps)</t>
  </si>
  <si>
    <t>C. ONE-TIME SETUP &amp; PLATFORM COSTS</t>
  </si>
  <si>
    <t>Item</t>
  </si>
  <si>
    <t>AED</t>
  </si>
  <si>
    <t>Website design &amp; build (LP v1 + v2)</t>
  </si>
  <si>
    <t>Tracking stack (GA4, sGTM, CallGear, CAPI, TikTok API)</t>
  </si>
  <si>
    <t>WhatsApp Business API setup &amp; templates</t>
  </si>
  <si>
    <t>Brand photography &amp; video shoot (1x)</t>
  </si>
  <si>
    <t>Compliance &amp; approvals (DHA/MOHAP assets)</t>
  </si>
  <si>
    <t>Creative asset production (ads, LP variants)</t>
  </si>
  <si>
    <t>Agency / wearefast.io onboarding (scope negotiable)</t>
  </si>
  <si>
    <t>iHealth EMR</t>
  </si>
  <si>
    <t>IT solutions</t>
  </si>
  <si>
    <t>AI call center</t>
  </si>
  <si>
    <t>Other opex</t>
  </si>
  <si>
    <t>One-time total</t>
  </si>
  <si>
    <t>D. TOTAL YEAR-1 CAPACITY &amp; SCENARIOS</t>
  </si>
  <si>
    <t>Scenario</t>
  </si>
  <si>
    <t>Multiplier</t>
  </si>
  <si>
    <t>Total capacity (AED)</t>
  </si>
  <si>
    <t>What changes</t>
  </si>
  <si>
    <t>Conservative</t>
  </si>
  <si>
    <t>Hold paid at H1 run-rate longer; delay TikTok/YouTube scale; organic carries more.</t>
  </si>
  <si>
    <t>BASE (this plan)</t>
  </si>
  <si>
    <t>Full plan as modelled: paid tapers 65%→50% of QLs while organic ramps.</t>
  </si>
  <si>
    <t>Aggressive</t>
  </si>
  <si>
    <t>Only if wearefast.io design + video + creator unlocks land by M2 AND Net CPL ≤ 150 by M4.</t>
  </si>
  <si>
    <t>TOTAL YEAR-1 CAPACITY (BASE) =</t>
  </si>
  <si>
    <t>Running envelope + one-time. Our confirmed spend capacity for wearefast.io scoping.</t>
  </si>
  <si>
    <t>Key input</t>
  </si>
  <si>
    <t>Weighted paid CPL (AED)</t>
  </si>
  <si>
    <t>Target ≤ 150 by Month 6. Channel basis in 13_Assumptions &amp; Sources.</t>
  </si>
  <si>
    <t>E. RETURN ECONOMICS (linked to 09_Commercial Model)</t>
  </si>
  <si>
    <t>Measure</t>
  </si>
  <si>
    <t>Basis</t>
  </si>
  <si>
    <t>Y1 identified revenue from new patients (AED)</t>
  </si>
  <si>
    <t>First-instance + ladder revenue, per commercial model inputs</t>
  </si>
  <si>
    <t>ROAS on paid media</t>
  </si>
  <si>
    <t>Identified revenue ÷ Y1 paid media</t>
  </si>
  <si>
    <t>All-in ROI (running envelope + one-time)</t>
  </si>
  <si>
    <t>Identified revenue ÷ total Y1 capacity</t>
  </si>
  <si>
    <t>Note: excludes the recall/existing engine (~70% of total arrivals, ~18,191 Y1) — marketing economics shown on new-patient revenue only. Total-business ROI is materially higher.</t>
  </si>
  <si>
    <t>12-MONTH EXECUTION PLAN</t>
  </si>
  <si>
    <t>Owner key: DN = Dental Nation · FST = wearefast.io · ARB = ArabyAds · JNT = joint. Shaded = active quarters. Lanes per 02_Lane Model.</t>
  </si>
  <si>
    <t>Workstream</t>
  </si>
  <si>
    <t>Owner</t>
  </si>
  <si>
    <t>Gate / dependency</t>
  </si>
  <si>
    <t>If blocked → park action</t>
  </si>
  <si>
    <t>Priority</t>
  </si>
  <si>
    <t>Lanes B/D/C paid engines (Search + Meta, offer-led)</t>
  </si>
  <si>
    <t>DN</t>
  </si>
  <si>
    <t>PARKED on creative — generic Search + GMB (Al Wasl) interim; resume on design pod + asset batch</t>
  </si>
  <si>
    <t>Interim: generic search continues; lanes stay organic-social</t>
  </si>
  <si>
    <t>P0</t>
  </si>
  <si>
    <t>Lane J (Ortho) always-on activation</t>
  </si>
  <si>
    <t>Scan slots published (8/wk/clinic) + scripts trained</t>
  </si>
  <si>
    <t>Hold at assessment-offer only; park aligner campaigns</t>
  </si>
  <si>
    <t>P1</t>
  </si>
  <si>
    <t>Lane E (Smile Bar) launch + influencer engine</t>
  </si>
  <si>
    <t>JNT</t>
  </si>
  <si>
    <t>wearefast.io creator network live (Lane E is 60% IG/TikTok)</t>
  </si>
  <si>
    <t>Park Lane E paid; keep walk-in/POS only</t>
  </si>
  <si>
    <t>ArabyAds: affiliate / influencer / CPL demand-gen program</t>
  </si>
  <si>
    <t>ARB</t>
  </si>
  <si>
    <t>Contract signed; execution starts next week. Pays on CPL — awareness + influencer + affiliate leads</t>
  </si>
  <si>
    <t>CPL guardrail: pause placements if lead quality (booking rate) drops below 40% for 2 weeks</t>
  </si>
  <si>
    <t>Design pod: ads, LP variants, brand kits</t>
  </si>
  <si>
    <t>FST</t>
  </si>
  <si>
    <t>wearefast.io design unlock confirmed (M1–M2)</t>
  </si>
  <si>
    <t>Park scaled creative testing; run on existing assets</t>
  </si>
  <si>
    <t>Videography &amp; podcast studio</t>
  </si>
  <si>
    <t>wearefast.io video unlock: reels, doctor authority films, podcast series</t>
  </si>
  <si>
    <t>Park video content; substitute static + testimonial reviews</t>
  </si>
  <si>
    <t>UGC / creator content production (for paid creative)</t>
  </si>
  <si>
    <t>wearefast.io production pod; influencer ACTIVATION runs via ArabyAds (row above)</t>
  </si>
  <si>
    <t>Park influencer channel (30% of digital); shift to Google/Meta</t>
  </si>
  <si>
    <t>Content engine: 3 posts/wk + blogs</t>
  </si>
  <si>
    <t>Video studio + DN editorial gate</t>
  </si>
  <si>
    <t>Reduce to sustainable cadence; keep GBP</t>
  </si>
  <si>
    <t>YouTube Action remarketing</t>
  </si>
  <si>
    <t>Video assets from wearefast.io studio</t>
  </si>
  <si>
    <t>Park; remarketing on Meta only</t>
  </si>
  <si>
    <t>P2</t>
  </si>
  <si>
    <t>Website v2: treatment hubs + schema</t>
  </si>
  <si>
    <t>Design pod bandwidth for templates</t>
  </si>
  <si>
    <t>Park v2; keep converting on v1 LPs</t>
  </si>
  <si>
    <t>PR placements + brand announcement</t>
  </si>
  <si>
    <t>wearefast.io PR network confirmed</t>
  </si>
  <si>
    <t>Park PR; lean on reviews + GBP</t>
  </si>
  <si>
    <t>B2B wave: 25–30 partners (corporate/spa/gym/schools)</t>
  </si>
  <si>
    <t>Packages + price lists approved by CEO</t>
  </si>
  <si>
    <t>Keep inbound handling; park outbound</t>
  </si>
  <si>
    <t>OOH / radio test</t>
  </si>
  <si>
    <t>M3 Net CPL ≤ AED 150 AND capacity 65–85%</t>
  </si>
  <si>
    <t>Auto-park if gate fails; retest in Q3</t>
  </si>
  <si>
    <t>Referral &amp; membership program</t>
  </si>
  <si>
    <t>CRM reward flow built</t>
  </si>
  <si>
    <t>Park; manual referral codes continue</t>
  </si>
  <si>
    <t>WA journey automation complete</t>
  </si>
  <si>
    <t>Park automation; manual recall (Lanie 3-attempt protocol)</t>
  </si>
  <si>
    <t>WHAT WEAREFAST.IO UNLOCKS, AND WHEN</t>
  </si>
  <si>
    <t>Each unlock maps to a gap in 03_Readiness &amp; Gaps and releases specific lanes/workstreams in 05_12M Plan.</t>
  </si>
  <si>
    <t>Unlock (wearefast.io-owned)</t>
  </si>
  <si>
    <t>Gap it closes</t>
  </si>
  <si>
    <t>Target start</t>
  </si>
  <si>
    <t>What it releases</t>
  </si>
  <si>
    <t>If NOT unlocked (park consequence)</t>
  </si>
  <si>
    <t>Dedicated design pod (ads, LPs, motion, brand kits)</t>
  </si>
  <si>
    <t>No dedicated design team</t>
  </si>
  <si>
    <t>Month 1–2</t>
  </si>
  <si>
    <t>Creative testing velocity across all 5 lanes; LP variants for CRO; brand-consistent assets for 3 clinics</t>
  </si>
  <si>
    <t>Creative volume capped → paid scales slower; site v2 parked; testing limited to existing assets</t>
  </si>
  <si>
    <t>No videographer / content team</t>
  </si>
  <si>
    <t>Meta reels (30% of digital), doctor authority films (Lane C before/after), podcast series for brand trust, Lane E social content</t>
  </si>
  <si>
    <t>Video-led channels underfed; Lane C authority content parked; proof leans on reviews + credentials only</t>
  </si>
  <si>
    <t>UGC &amp; creator content production</t>
  </si>
  <si>
    <t>Creator content production unstaffed</t>
  </si>
  <si>
    <t>Month 2</t>
  </si>
  <si>
    <t>Creative feed for the influencer channel (activation via ArabyAds); Lane E launch content (60% IG/TikTok); Lane J teen/parent assets</t>
  </si>
  <si>
    <t>ArabyAds runs on partner-supplied creative only — lower volume, higher CPL; Lane E launch delayed</t>
  </si>
  <si>
    <t>PR placements + brand announcement wave</t>
  </si>
  <si>
    <t>No PR agency finalised</t>
  </si>
  <si>
    <t>Month 4 (Q2)</t>
  </si>
  <si>
    <t>Health/lifestyle trust signals; DIFC/flagship launch amplification</t>
  </si>
  <si>
    <t>PR parked; trust via reviews/GBP only — slower premium perception</t>
  </si>
  <si>
    <t>Performance media scale support</t>
  </si>
  <si>
    <t>Solo in-house media operator</t>
  </si>
  <si>
    <t>Spend &gt; AED 300K/mo (≈M7)</t>
  </si>
  <si>
    <t>H2 scale to AED 350–370K/mo paid without quality loss; faster test-iterate loops</t>
  </si>
  <si>
    <t>H2 spend held at H1 ceiling; Y1 new-patient target re-based downward</t>
  </si>
  <si>
    <t>Campaign film production (quarterly bursts)</t>
  </si>
  <si>
    <t>One-off shoot budget only</t>
  </si>
  <si>
    <t>Quarterly</t>
  </si>
  <si>
    <t>Launch films, YouTube assets, seasonal pushes</t>
  </si>
  <si>
    <t>YouTube Action parked; campaigns run static-only</t>
  </si>
  <si>
    <t>Sequencing logic: design pod + video studio first (they gate creative for every lane), creators second (they gate the influencer 30% and Lane E), PR and media-scale support after the engine proves CPL ≤ 150.</t>
  </si>
  <si>
    <t>PARTNER ECOSYSTEM — WHO DOES WHAT</t>
  </si>
  <si>
    <t>Partner</t>
  </si>
  <si>
    <t>Role</t>
  </si>
  <si>
    <t>Commercial model</t>
  </si>
  <si>
    <t>Starts</t>
  </si>
  <si>
    <t>Interfaces with</t>
  </si>
  <si>
    <t>Dental Nation (in-house)</t>
  </si>
  <si>
    <t>Strategy, media buying, tracking/attribution, lane ops, reactivation, B2B</t>
  </si>
  <si>
    <t>Salaried team</t>
  </si>
  <si>
    <t>Live</t>
  </si>
  <si>
    <t>Owns the dashboard; briefs both partners</t>
  </si>
  <si>
    <t>wearefast.io (Faisal)</t>
  </si>
  <si>
    <t>Capability unlocks: design pod, video/podcast studio, UGC production, PR, media scale support</t>
  </si>
  <si>
    <t>Retainer + scoped deliverables (onboarding line negotiable)</t>
  </si>
  <si>
    <t>On confirmation (this file)</t>
  </si>
  <si>
    <t>Feeds creative to DN paid engines AND ArabyAds campaigns</t>
  </si>
  <si>
    <t>ArabyAds</t>
  </si>
  <si>
    <t>Affiliate + influencer + demand-gen / awareness program</t>
  </si>
  <si>
    <t>CPL-based (performance)</t>
  </si>
  <si>
    <t>Next week</t>
  </si>
  <si>
    <t>Receives creative from wearefast.io; leads land in DN tracking with source tags</t>
  </si>
  <si>
    <t>Design principle: performance risk sits with ArabyAds (CPL), capability risk sits with wearefast.io (deliverables), and measurement truth sits with DN (one dashboard, source-tagged). No partner grades their own homework.</t>
  </si>
  <si>
    <t>PARK / RESUME REGISTER</t>
  </si>
  <si>
    <t>The rule that keeps the programme moving when an initiative is blocked.</t>
  </si>
  <si>
    <t>THE RULE</t>
  </si>
  <si>
    <t>1. Blocked &gt;2 weeks by a dependency we cannot resolve → the initiative is PARKED, not dragged.</t>
  </si>
  <si>
    <t>2. Every park entry gets a written RESUME TRIGGER — the specific condition that reactivates it.</t>
  </si>
  <si>
    <t>3. Freed effort redeploys immediately to the next-highest-impact ACTIVE workstream in 05_12M Plan.</t>
  </si>
  <si>
    <t>4. Parked ≠ cancelled. Register reviewed at every bi-weekly wearefast.io sync; trigger met → item resumes.</t>
  </si>
  <si>
    <t>CURRENT REGISTER</t>
  </si>
  <si>
    <t>Initiative</t>
  </si>
  <si>
    <t>Blocker</t>
  </si>
  <si>
    <t>Resume trigger</t>
  </si>
  <si>
    <t>Effort redeployed to</t>
  </si>
  <si>
    <t>Scaled creative testing program</t>
  </si>
  <si>
    <t>No design team</t>
  </si>
  <si>
    <t>PARKED</t>
  </si>
  <si>
    <t>wearefast.io design pod onboarded (M1–M2)</t>
  </si>
  <si>
    <t>Paid runs on existing asset library</t>
  </si>
  <si>
    <t>Video &amp; podcast content engine</t>
  </si>
  <si>
    <t>No videographer</t>
  </si>
  <si>
    <t>wearefast.io video studio live; first reel batch delivered</t>
  </si>
  <si>
    <t>Static creative + testimonial reviews</t>
  </si>
  <si>
    <t>Influencer / affiliate channel (30% of digital)</t>
  </si>
  <si>
    <t>Was: no activation partner — RESOLVED via ArabyAds</t>
  </si>
  <si>
    <t>ArabyAds execution starts next week; full status review after first 2 weeks of CPL data</t>
  </si>
  <si>
    <t>— (unparked; creative production gap remains with wearefast.io)</t>
  </si>
  <si>
    <t>Lane E (Smile Bar) full launch</t>
  </si>
  <si>
    <t>Depends on creator + video content</t>
  </si>
  <si>
    <t>GATED</t>
  </si>
  <si>
    <t>ArabyAds influencer activation live + wearefast.io content batch delivered</t>
  </si>
  <si>
    <t>Walk-in/POS + in-clinic signage</t>
  </si>
  <si>
    <t>Full content cadence (3/wk + blogs)</t>
  </si>
  <si>
    <t>Content production unstaffed</t>
  </si>
  <si>
    <t>wearefast.io content engine live</t>
  </si>
  <si>
    <t>Sustainable GBP + core social cadence</t>
  </si>
  <si>
    <t>PR &amp; brand announcement wave</t>
  </si>
  <si>
    <t>wearefast.io PR network scoped and priced</t>
  </si>
  <si>
    <t>Reviews engine + GBP optimisation</t>
  </si>
  <si>
    <t>Gated by performance</t>
  </si>
  <si>
    <t>Digital channels until gate met</t>
  </si>
  <si>
    <t>Lane-based PAID campaigns (B/D/C offers)</t>
  </si>
  <si>
    <t>Creative blocker — no design/asset production</t>
  </si>
  <si>
    <t>wearefast.io design pod live + first lane asset batch approved</t>
  </si>
  <si>
    <t>Generic Google Search + GMB (Al Wasl) carries paid; lanes run on ORGANIC social</t>
  </si>
  <si>
    <t>Reactivation blasts (Lanie, 2x/week)</t>
  </si>
  <si>
    <t>ACTIVE</t>
  </si>
  <si>
    <t>Tracking, dashboard, attribution</t>
  </si>
  <si>
    <t>Generic Google Search + GMB (Al Wasl)</t>
  </si>
  <si>
    <t>Transitions to lane-offer campaigns once creative unlocks land</t>
  </si>
  <si>
    <t>CANONICAL OFFER LANES</t>
  </si>
  <si>
    <t>One offer · one promise · one price · one CTA per lane. Premium-but-accessible, never discount-led.</t>
  </si>
  <si>
    <t>Canonical offer</t>
  </si>
  <si>
    <t>Promise</t>
  </si>
  <si>
    <t>Price (AED)</t>
  </si>
  <si>
    <t>CTA</t>
  </si>
  <si>
    <t>Launch</t>
  </si>
  <si>
    <t>Assets needed</t>
  </si>
  <si>
    <t>Dependency</t>
  </si>
  <si>
    <t>Partner unlock</t>
  </si>
  <si>
    <t>B</t>
  </si>
  <si>
    <t>The DN First Look</t>
  </si>
  <si>
    <t>Full exam + digital X-ray + scale &amp; polish, all-in bundle</t>
  </si>
  <si>
    <t>799</t>
  </si>
  <si>
    <t>Book The DN First Look</t>
  </si>
  <si>
    <t>Static, carousel, story, WhatsApp card, GBP post, LP module</t>
  </si>
  <si>
    <t>Design pod + clinic photo set</t>
  </si>
  <si>
    <t>wearefast.io: creative translation + asset templates</t>
  </si>
  <si>
    <t>D</t>
  </si>
  <si>
    <t>DN SOS — Seen in 60</t>
  </si>
  <si>
    <t>Same-day exam + X-ray + pain-relief consult; 60-minute guaranteed window</t>
  </si>
  <si>
    <t>699 (+200 deposit)</t>
  </si>
  <si>
    <t>Book DN SOS</t>
  </si>
  <si>
    <t>Search LP, CTWA card, symptom-led carousel, click-to-call GBP</t>
  </si>
  <si>
    <t>Ops capacity + appointment-window governance</t>
  </si>
  <si>
    <t>wearefast.io: copy QA (certainty &amp; speed, never fear imagery)</t>
  </si>
  <si>
    <t>C</t>
  </si>
  <si>
    <t>The DN Plan</t>
  </si>
  <si>
    <t>Free CBCT scan + specialist consult + written all-inclusive treatment plan</t>
  </si>
  <si>
    <t>FREE (value 899)</t>
  </si>
  <si>
    <t>Get The DN Plan</t>
  </si>
  <si>
    <t>Implant planning LP, transparent-plan carousel, calm education, GBP proof</t>
  </si>
  <si>
    <t>Clinical imaging &amp; consent SOP (DN clinical) + authority video content (wearefast.io)</t>
  </si>
  <si>
    <t>wearefast.io: doctor authority films + case-study templates</t>
  </si>
  <si>
    <t>J</t>
  </si>
  <si>
    <t>The DN Scan</t>
  </si>
  <si>
    <t>Digital scan + specialist consult + same-session treatment plan</t>
  </si>
  <si>
    <t>499 (deducted if treatment starts ≤30 days)</t>
  </si>
  <si>
    <t>Book The DN Scan</t>
  </si>
  <si>
    <t>Wk 2–3</t>
  </si>
  <si>
    <t>Scan-to-plan LP, carousel, screen-led reel, deduction-note card</t>
  </si>
  <si>
    <t>Scanner workflow + specialist calendar (8 slots/wk/clinic)</t>
  </si>
  <si>
    <t>ArabyAds: teen/parent influencer reach · wearefast.io: reels</t>
  </si>
  <si>
    <t>E</t>
  </si>
  <si>
    <t>The DN Glow Up</t>
  </si>
  <si>
    <t>60-min laser whitening + complimentary digital smile scan</t>
  </si>
  <si>
    <t>1,699</t>
  </si>
  <si>
    <t>Book The DN Glow Up</t>
  </si>
  <si>
    <t>Premium hero, ritual reel, WhatsApp card, clinic ambience photos</t>
  </si>
  <si>
    <t>Design pod + tasteful photo/video (wellness ritual, not whitening discount)</t>
  </si>
  <si>
    <t>ArabyAds: lifestyle influencer activation · wearefast.io: content</t>
  </si>
  <si>
    <t>CREATIVE GUARDRAILS</t>
  </si>
  <si>
    <t>One offer / one promise / one price / one CTA</t>
  </si>
  <si>
    <t>Each LP hero, static, carousel opener and WhatsApp card carries a single job.</t>
  </si>
  <si>
    <t>Premium-but-accessible, not discount-led</t>
  </si>
  <si>
    <t>No flash-sale language, miracle claims, or fake luxury.</t>
  </si>
  <si>
    <t>Real clinic proof for local/GBP</t>
  </si>
  <si>
    <t>GBP posts use clinic/place images, not graphics-only posts.</t>
  </si>
  <si>
    <t>Assets match operational reality</t>
  </si>
  <si>
    <t>Never publish DN SOS or DN Plan claims the clinic cannot fulfil.</t>
  </si>
  <si>
    <t>DHA/MOHAP + consent compliance</t>
  </si>
  <si>
    <t>Claims, before/after and diagnostic imagery approved and logged before any paid use.</t>
  </si>
  <si>
    <t>ANCHOR–LADDER COMMERCIAL MODEL</t>
  </si>
  <si>
    <t>Anchor offers bring patients in; the ladder converts them to treatment plans. Blue = inputs. High-value mix input fixes the overcount in earlier drafts.</t>
  </si>
  <si>
    <t>INPUTS</t>
  </si>
  <si>
    <t>Input</t>
  </si>
  <si>
    <t>QL → arrival rate</t>
  </si>
  <si>
    <t>25% booking × 80% show (base model)</t>
  </si>
  <si>
    <t>Anchor → Ladder conversion</t>
  </si>
  <si>
    <t>Share of arrivals moving into a treatment plan</t>
  </si>
  <si>
    <t>Case acceptance</t>
  </si>
  <si>
    <t>Share of ladder plans accepted</t>
  </si>
  <si>
    <t>High-value case mix</t>
  </si>
  <si>
    <t>Share of accepted cases at the high-value ticket (implants/full-arch/aligners)</t>
  </si>
  <si>
    <t>Avg ladder value (standard case)</t>
  </si>
  <si>
    <t>Anchor–Ladder benchmark</t>
  </si>
  <si>
    <t>High-value ticket</t>
  </si>
  <si>
    <t>Implant/full-arch/smile-makeover average</t>
  </si>
  <si>
    <t>Avg first-instance revenue / arrival</t>
  </si>
  <si>
    <t>ACTUAL avg bill from Zavis dashboard (was 1,000 planning assumption)</t>
  </si>
  <si>
    <t>Membership offer rate</t>
  </si>
  <si>
    <t>Offered at treatment close</t>
  </si>
  <si>
    <t>Membership enrollment</t>
  </si>
  <si>
    <t>Target share of offers accepted</t>
  </si>
  <si>
    <t>QUARTERLY MODEL (Y1)</t>
  </si>
  <si>
    <t>Total QLs</t>
  </si>
  <si>
    <t>Arrivals</t>
  </si>
  <si>
    <t>Cases accepted</t>
  </si>
  <si>
    <t>First-instance rev</t>
  </si>
  <si>
    <t>Total identified rev</t>
  </si>
  <si>
    <t>Membership enrollments</t>
  </si>
  <si>
    <t>Total identified revenue feeds return economics in 04_Spend Capacity</t>
  </si>
  <si>
    <t>Logic fix vs earlier draft: high-value revenue applies only to the high-value MIX of accepted cases (input above), not to every accepted case. This turns an indefensible AED ~18.7M 'potential' into a number that survives diligence.</t>
  </si>
  <si>
    <t>ACTUALS — WHERE WE ARE TODAY</t>
  </si>
  <si>
    <t>Dashboard snapshot (Zavis CRM + ad platforms, Jul 2026). Yellow = update at each sync.</t>
  </si>
  <si>
    <t>A. CURRENT STATE SNAPSHOT</t>
  </si>
  <si>
    <t>Actual</t>
  </si>
  <si>
    <t>Read</t>
  </si>
  <si>
    <t>Marketing spend to date (Meta + Google)</t>
  </si>
  <si>
    <t>Only generic Google Search + GMB ads (Al Wasl) currently active; no lane-based paid campaigns</t>
  </si>
  <si>
    <t>Leads generated</t>
  </si>
  <si>
    <t>From generic campaigns — no offer-led creative</t>
  </si>
  <si>
    <t>Blended CPL (actual)</t>
  </si>
  <si>
    <t>AED 361/lead vs AED 161 plan target — 2.2x over. This is the cost of running WITHOUT lane offers and creative</t>
  </si>
  <si>
    <t>Appointments booked</t>
  </si>
  <si>
    <t>Includes recall/walk-in/direct — NOT all from the 242 marketing leads. 5 booked by AI agent</t>
  </si>
  <si>
    <t>Appointments completed</t>
  </si>
  <si>
    <t>42% of concluded — period/definition to be confirmed before reading a show rate from this</t>
  </si>
  <si>
    <t>Clinic revenue (AED)</t>
  </si>
  <si>
    <t>Business is converting — the engine works</t>
  </si>
  <si>
    <t>Average bill (AED)</t>
  </si>
  <si>
    <t>Validates the commercial model input (set to 941 in 09_Commercial Model)</t>
  </si>
  <si>
    <t>Conversations handled (Zavis CRM)</t>
  </si>
  <si>
    <t>Contact-center volume is real; routing discipline matters</t>
  </si>
  <si>
    <t>B. THE CREATIVE GAP, QUANTIFIED</t>
  </si>
  <si>
    <t>Meaning</t>
  </si>
  <si>
    <t>Actual blended CPL</t>
  </si>
  <si>
    <t>Generic search + GMB, no lane offers, no creative testing</t>
  </si>
  <si>
    <t>Plan CPL (with creative engine)</t>
  </si>
  <si>
    <t>Requires lane offers + creative pod + video/UGC — the wearefast.io unlocks</t>
  </si>
  <si>
    <t>Y1 lead plan cost at ACTUAL CPL</t>
  </si>
  <si>
    <t>21,702 paid QLs × actual CPL — what Y1 costs if nothing changes</t>
  </si>
  <si>
    <t>Y1 lead plan cost at PLAN CPL</t>
  </si>
  <si>
    <t>The modelled envelope</t>
  </si>
  <si>
    <t>ANNUAL VALUE OF THE CREATIVE UNLOCK</t>
  </si>
  <si>
    <t>The efficiency gap wearefast.io's creative unlocks are worth per year — before counting volume upside</t>
  </si>
  <si>
    <t>C. GO-FORWARD CHANNEL TRACKER (update at each sync)</t>
  </si>
  <si>
    <t>Channel</t>
  </si>
  <si>
    <t>Plan leads/mo</t>
  </si>
  <si>
    <t>Plan CPL</t>
  </si>
  <si>
    <t>Actual spend MTD</t>
  </si>
  <si>
    <t>Actual leads MTD</t>
  </si>
  <si>
    <t>Actual CPL</t>
  </si>
  <si>
    <t>Google Search + GMB (Al Wasl, generic)</t>
  </si>
  <si>
    <t>Only live paid engine today; expected to improve once lane LPs replace generic</t>
  </si>
  <si>
    <t>Lane-based paid (B/D/C offers)</t>
  </si>
  <si>
    <t>Blocked on creative — resume trigger: wearefast.io design pod + first asset batch</t>
  </si>
  <si>
    <t>Meta Ads (lane reels/carousels)</t>
  </si>
  <si>
    <t>Blocked on creative; lanes currently run ORGANIC social only</t>
  </si>
  <si>
    <t>ArabyAds (affiliate/influencer CPL)</t>
  </si>
  <si>
    <t>STARTING</t>
  </si>
  <si>
    <t>Execution starts next week; CPL-based</t>
  </si>
  <si>
    <t>Reactivation (WA blasts)</t>
  </si>
  <si>
    <t>Lanie + clinic managers; Zavis CRM</t>
  </si>
  <si>
    <t>B2B / referrals</t>
  </si>
  <si>
    <t>Commercial Lead; pilot list</t>
  </si>
  <si>
    <t>Data-quality asks for the growth room: (1) source-tag every booking so lead→booking is measurable per channel; (2) confirm the period behind 'appointments completed = 39' before reading a show rate; (3) split Meta vs Google in the spend line going forward.</t>
  </si>
  <si>
    <t>CLINIC CAPACITY &amp; MEDIA THROTTLE RULES</t>
  </si>
  <si>
    <t>Demand must never outrun chairs. Two views: current rescue-phase network and the annual network model.</t>
  </si>
  <si>
    <t>CURRENT PHASE — 3-CLINIC RESCUE NETWORK (per 02_Lane Model)</t>
  </si>
  <si>
    <t>Patients/mo</t>
  </si>
  <si>
    <t>Utilisation now</t>
  </si>
  <si>
    <t>Target</t>
  </si>
  <si>
    <t>Capacity action</t>
  </si>
  <si>
    <t>60%</t>
  </si>
  <si>
    <t>75–85%</t>
  </si>
  <si>
    <t>Add 20 slots/day if utilisation exceeds 85%</t>
  </si>
  <si>
    <t>20%</t>
  </si>
  <si>
    <t>50%</t>
  </si>
  <si>
    <t>Biggest opportunity — 80% empty. Protect 25 consult slots/wk + CBCT blocks; enforce 45–60 min consults</t>
  </si>
  <si>
    <t>40%</t>
  </si>
  <si>
    <t>65%</t>
  </si>
  <si>
    <t>Hard-protect 10 emergency slots/day; overflow branch if wait &gt; 2 hours</t>
  </si>
  <si>
    <t>ANNUAL NETWORK MODEL — 4-BRANCH VIEW (Y1 plan; DIFC + Fairmont ramp in)</t>
  </si>
  <si>
    <t>Branch</t>
  </si>
  <si>
    <t>Y1 patients</t>
  </si>
  <si>
    <t>Community / media routing</t>
  </si>
  <si>
    <t>Al Wasl (Acacia/DN)</t>
  </si>
  <si>
    <t>Emirati &amp; family demand — route search + GBP demand here first; flagship proof</t>
  </si>
  <si>
    <t>Dr Tosun</t>
  </si>
  <si>
    <t>Turkish diaspora + premium specialist — language-native messaging &amp; retargeting</t>
  </si>
  <si>
    <t>DIFC (launch)</t>
  </si>
  <si>
    <t>Finance/legal expats — unlock only after routing &amp; capacity readiness</t>
  </si>
  <si>
    <t>Russian (Fairmont)</t>
  </si>
  <si>
    <t>Russian expats &amp; tourists — multilingual proof + concierge routing</t>
  </si>
  <si>
    <t>Network total</t>
  </si>
  <si>
    <t>Controls Y1 new-patient math and paid pacing</t>
  </si>
  <si>
    <t>Reconciliation note: the rescue phase runs today's 3 clinics (Tosun / Al Wasl / AMC); the annual model adds DIFC (launching) and Fairmont ramp. AMC demand folds into the network plan as emergency-lane primary. Both views are intentional — near-term ops vs full-year network.</t>
  </si>
  <si>
    <t>THROTTLE RULES</t>
  </si>
  <si>
    <t>Trigger</t>
  </si>
  <si>
    <t>Action</t>
  </si>
  <si>
    <t>Occupancy &gt; 85% at a clinic</t>
  </si>
  <si>
    <t>Throttle that clinic's demand or reroute to lower-occupancy clinic</t>
  </si>
  <si>
    <t>Show rate below target</t>
  </si>
  <si>
    <t>Fix reminders / deposits / scripting before scaling that clinic's spend</t>
  </si>
  <si>
    <t>Response SLA fails (missed leads)</t>
  </si>
  <si>
    <t>Pause paid for that clinic until reception/TC recovery is verified</t>
  </si>
  <si>
    <t>New clinic opens / routing changes</t>
  </si>
  <si>
    <t>Run split tests by clinic and language before full budget shift</t>
  </si>
  <si>
    <t>KPIs, GUARDRAILS &amp; CADENCE</t>
  </si>
  <si>
    <t>CORE KPIs</t>
  </si>
  <si>
    <t>KPI</t>
  </si>
  <si>
    <t>Why it matters</t>
  </si>
  <si>
    <t>2,500 (by lane per 02_Lane Model)</t>
  </si>
  <si>
    <t>Primary volume indicator</t>
  </si>
  <si>
    <t>Lead → booking</t>
  </si>
  <si>
    <t>≥ 60% (Rescue protocol)</t>
  </si>
  <si>
    <t>Front desk 5-min response + mandatory script</t>
  </si>
  <si>
    <t>Show rate</t>
  </si>
  <si>
    <t>≥ 70–80% by lane</t>
  </si>
  <si>
    <t>Drives ~20% lead→patient economics</t>
  </si>
  <si>
    <t>Treatment acceptance</t>
  </si>
  <si>
    <t>≥ 48% group / ≥50% Lane C</t>
  </si>
  <si>
    <t>TC discipline; financing offers</t>
  </si>
  <si>
    <t>Revenue / month</t>
  </si>
  <si>
    <t>AED 500,000 (AED 6M run rate)</t>
  </si>
  <si>
    <t>The number the lanes back into</t>
  </si>
  <si>
    <t>Net CPL (blended)</t>
  </si>
  <si>
    <t>≤ AED 150 by Month 6</t>
  </si>
  <si>
    <t>Gates OOH and scale decisions</t>
  </si>
  <si>
    <t>WhatsApp response speed (Lane D)</t>
  </si>
  <si>
    <t>≤ 2 minutes</t>
  </si>
  <si>
    <t>Emergency lane wins on speed</t>
  </si>
  <si>
    <t>Review volume &amp; rating</t>
  </si>
  <si>
    <t>≥ 4.6★; +1,000 reviews Y1</t>
  </si>
  <si>
    <t>Trust engine; substitutes for parked PR</t>
  </si>
  <si>
    <t>SPEND GUARDRAILS</t>
  </si>
  <si>
    <t>Response</t>
  </si>
  <si>
    <t>Pause</t>
  </si>
  <si>
    <t>Channel ROMI &lt; 1.5x for 2 consecutive weeks</t>
  </si>
  <si>
    <t>Rebuild creative/targeting before respend</t>
  </si>
  <si>
    <t>Scale</t>
  </si>
  <si>
    <t>ROMI &gt; 3x AND clinic occupancy &lt; 85%</t>
  </si>
  <si>
    <t>Shift budget to winner within monthly envelope</t>
  </si>
  <si>
    <t>Throttle</t>
  </si>
  <si>
    <t>Occupancy &gt; 85%</t>
  </si>
  <si>
    <t>Protect chair capacity even if ROMI is strong</t>
  </si>
  <si>
    <t>CADENCE WITH PARTNERS</t>
  </si>
  <si>
    <t>Rhythm</t>
  </si>
  <si>
    <t>What happens</t>
  </si>
  <si>
    <t>Who</t>
  </si>
  <si>
    <t>Daily (Rescue phase)</t>
  </si>
  <si>
    <t>09:00 huddle: lead flow by clinic/lane; scale winners, pause losers</t>
  </si>
  <si>
    <t>Dr. Luvi + Fahad + Lanie</t>
  </si>
  <si>
    <t>Weekly</t>
  </si>
  <si>
    <t>Async performance update (dashboard link + 08_Actuals vs plan)</t>
  </si>
  <si>
    <t>DN sends; no meeting required</t>
  </si>
  <si>
    <t>Bi-weekly</t>
  </si>
  <si>
    <t>wearefast.io sync: unlock progress, park register review</t>
  </si>
  <si>
    <t>Faisal + DN growth lead</t>
  </si>
  <si>
    <t>Monthly</t>
  </si>
  <si>
    <t>Budget gate: release next month's envelope vs guardrails</t>
  </si>
  <si>
    <t>Mr. Akbar (CEO) + Faisal sign-off</t>
  </si>
  <si>
    <t>Plan re-base: scenarios in 04_Spend Capacity revisited</t>
  </si>
  <si>
    <t>Full review</t>
  </si>
  <si>
    <t>Weekly (ArabyAds)</t>
  </si>
  <si>
    <t>CPL + lead-quality review (booking rate by source tag); pause/scale placements</t>
  </si>
  <si>
    <t>Fahad + ArabyAds account lead</t>
  </si>
  <si>
    <t>DECISION PROTOCOL (GREEN / AMBER / RED / REDEPLOY)</t>
  </si>
  <si>
    <t>Signal</t>
  </si>
  <si>
    <t>Condition</t>
  </si>
  <si>
    <t>GREEN</t>
  </si>
  <si>
    <t>CPL, lead quality, show rate and clinic capacity all inside guardrail</t>
  </si>
  <si>
    <t>Scale the channel/offer</t>
  </si>
  <si>
    <t>AMBER</t>
  </si>
  <si>
    <t>CPL 0–20% above target or one conversion stage weak but solvable this sprint</t>
  </si>
  <si>
    <t>Hold and rebuild</t>
  </si>
  <si>
    <t>RED</t>
  </si>
  <si>
    <t>CPL &gt;20% above target 2 weeks, or compliance/tracking/capacity blocks safe execution</t>
  </si>
  <si>
    <t>Pause or park with resume trigger</t>
  </si>
  <si>
    <t>REDEPLOY</t>
  </si>
  <si>
    <t>Any park event</t>
  </si>
  <si>
    <t>Shift budget/time to Search, GBP/local, reactivation, or live offer lanes</t>
  </si>
  <si>
    <t>FIRST PARTNER MEETING AGENDA (FAISAL)</t>
  </si>
  <si>
    <t>1. Confirm operating scenario: Conservative / BASE / Aggressive (04_Spend Capacity).</t>
  </si>
  <si>
    <t>2. Confirm wearefast.io unlock owners + start months: design pod, video/podcast studio, UGC production (06_wearefast Unlocks).</t>
  </si>
  <si>
    <t>3. Review ArabyAds launch readiness for next week: creative feed, source tagging, CPL quality guardrail.</t>
  </si>
  <si>
    <t>4. Agree first 90-day channel sequence and spend tranche release rules.</t>
  </si>
  <si>
    <t>5. Lock weekly growth-room dashboard + park-register review cadence.</t>
  </si>
  <si>
    <t>ASSUMPTIONS &amp; SOURCES</t>
  </si>
  <si>
    <t>Operating model</t>
  </si>
  <si>
    <t>Revenue Rescue Plan (5-lane parallel execution): 2,500 leads/mo → 60% book → 70% show → 48% accept → 500 patients → AED 500K/mo at 1,000 AED avg revenue per patient. Clinics: Dr. Tosun 1,000 · Al Wasl 1,000 · AMC 500.</t>
  </si>
  <si>
    <t>Funnel consistency</t>
  </si>
  <si>
    <t>Rescue funnel ≈20.2% lead→patient; Y1 annual model uses 20% QL→arrival (25% book × 80% show). Two independent builds converge — conversion economics validated.</t>
  </si>
  <si>
    <t>Lane shares</t>
  </si>
  <si>
    <t>Lane B Family 35% · Lane D Emergency 20% · Lane C Implants 20% · Lane J Ortho 20% · Lane E Lifestyle 5%. Hook offers per Rescue plan lane sheets.</t>
  </si>
  <si>
    <t>Channel mix</t>
  </si>
  <si>
    <t>Digital 70% (Google 40% / Meta 30% / Influencer 30% of digital) · Reactivation 15% · B2B 15%. Owners: Fahad+agency / Lanie+managers / Commercial Lead.</t>
  </si>
  <si>
    <t>Weighted paid CPL</t>
  </si>
  <si>
    <t>AED 161 blended (Y1 model): Search 140, PMax 150, Meta CTWA 170, Meta Lead Ads 140, TikTok 160, YouTube 320. Target ≤150 by M6. Channel working targets in 10_Actuals Tracker are consistent with this blend.</t>
  </si>
  <si>
    <t>Paid share taper</t>
  </si>
  <si>
    <t>Q1 65% → Q4 50% of QLs as organic engines ramp.</t>
  </si>
  <si>
    <t>Monthly paid figures</t>
  </si>
  <si>
    <t>From Year1_Cost sheet of the Y1 plan workbook (M1 168,406 → M12 371,105; Y1 ≈ AED 3.49M).</t>
  </si>
  <si>
    <t>One-time costs</t>
  </si>
  <si>
    <t>From 10_Costs_OneTime (AED 360,000). Agency onboarding line (150K) is negotiable scope within the wearefast.io engagement.</t>
  </si>
  <si>
    <t>Fixed stack</t>
  </si>
  <si>
    <t>AED 14,350/month: hosting, sGTM, call tracking &amp; DNI, WA platform fees, SEO/review tools.</t>
  </si>
  <si>
    <t>Governance (RACI)</t>
  </si>
  <si>
    <t>Accountable: Dr. Luvi. Strategy &amp; approval: Mr. Akbar (CEO). Execution: Fahad (marketing), Lanie (front desk/ops), Gautam (TMO, deadlines). wearefast.io plugs into the Fahad workstream.</t>
  </si>
  <si>
    <t>Park logic</t>
  </si>
  <si>
    <t>Founder decision: blocked initiatives are parked with resume triggers, never allowed to stall the programme.</t>
  </si>
  <si>
    <t>ArabyAds program</t>
  </si>
  <si>
    <t>Contracted affiliate/influencer/demand-gen partner on a CPL model; execution begins next week. Covers influencer ACTIVATION and affiliate lead volume within the Digital 70% envelope; creative production is supplied by wearefast.io; all leads land in DN tracking with source tags for independent quality measurement (booking-rate guardrail ≥40%).</t>
  </si>
  <si>
    <t>SOURCE FILES</t>
  </si>
  <si>
    <t>DentalNation_Y1_ComprehensivePlan_v1.xlsx</t>
  </si>
  <si>
    <t>Spend capacity, funnel math, channel CPLs, roadmap, resourcing, one-time costs.</t>
  </si>
  <si>
    <t>Revenue Rescue Plan (Mar 2026 deck)</t>
  </si>
  <si>
    <t>5-lane model, clinic/channel allocation, hook offers, funnel rates, RACI, capacity utilisation.</t>
  </si>
  <si>
    <t>ChatGPT draft workbook (Y1 Marketing Unlock Plan)</t>
  </si>
  <si>
    <t>Canonical offer names, Anchor–Ladder targets, phase labels, decision protocol — adopted with corrections (high-value mix fix; radiographic→videography; Assembly→wearefast.io; ArabyAds added).</t>
  </si>
  <si>
    <t>Founder Operating Brief</t>
  </si>
  <si>
    <t>Positioning: brand-led, platform-powered consumer-health dental company; masterbrand + clinic ladder.</t>
  </si>
  <si>
    <t>Growth Hub / Growth Master Plan</t>
  </si>
  <si>
    <t>Initiative blockers used to seed the park register.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</si>
</sst>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x"/>
    <numFmt numFmtId="165" formatCode="0.00\x"/>
  </numFmts>
  <fonts count="21" x14ac:knownFonts="1">
    <font>
      <sz val="11"/>
      <color theme="1"/>
      <name val="Calibri"/>
      <family val="2"/>
      <charset val="1"/>
    </font>
    <font>
      <b/>
      <sz val="20"/>
      <color rgb="FF1F2937"/>
      <name val="Arial"/>
      <charset val="1"/>
    </font>
    <font>
      <b/>
      <sz val="13"/>
      <color rgb="FF0F766E"/>
      <name val="Arial"/>
      <charset val="1"/>
    </font>
    <font>
      <sz val="10"/>
      <color rgb="FF6B7280"/>
      <name val="Arial"/>
      <charset val="1"/>
    </font>
    <font>
      <b/>
      <sz val="10"/>
      <color rgb="FF0F766E"/>
      <name val="Arial"/>
      <charset val="1"/>
    </font>
    <font>
      <sz val="10"/>
      <color rgb="FF000000"/>
      <name val="Arial"/>
      <charset val="1"/>
    </font>
    <font>
      <b/>
      <sz val="11"/>
      <color rgb="FF1F2937"/>
      <name val="Arial"/>
      <charset val="1"/>
    </font>
    <font>
      <b/>
      <sz val="10"/>
      <color rgb="FF000000"/>
      <name val="Arial"/>
      <charset val="1"/>
    </font>
    <font>
      <b/>
      <sz val="16"/>
      <color rgb="FF1F2937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0F766E"/>
      <name val="Arial"/>
      <charset val="1"/>
    </font>
    <font>
      <b/>
      <sz val="10"/>
      <color rgb="FF166534"/>
      <name val="Arial"/>
      <charset val="1"/>
    </font>
    <font>
      <b/>
      <sz val="10"/>
      <color rgb="FF991B1B"/>
      <name val="Arial"/>
      <charset val="1"/>
    </font>
    <font>
      <sz val="10"/>
      <color rgb="FF0000FF"/>
      <name val="Arial"/>
      <charset val="1"/>
    </font>
    <font>
      <b/>
      <sz val="10"/>
      <color rgb="FF92400E"/>
      <name val="Arial"/>
      <charset val="1"/>
    </font>
    <font>
      <i/>
      <sz val="10"/>
      <color rgb="FF6B7280"/>
      <name val="Arial"/>
      <charset val="1"/>
    </font>
    <font>
      <sz val="10"/>
      <color rgb="FF374151"/>
      <name val="Arial"/>
      <charset val="1"/>
    </font>
    <font>
      <b/>
      <sz val="10"/>
      <color rgb="FF374151"/>
      <name val="Arial"/>
      <charset val="1"/>
    </font>
    <font>
      <sz val="10"/>
      <color rgb="FF0F766E"/>
      <name val="Arial"/>
      <charset val="1"/>
    </font>
    <font>
      <b/>
      <sz val="10"/>
      <color rgb="FF0000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1F2937"/>
        <bgColor rgb="FF333300"/>
      </patternFill>
    </fill>
    <fill>
      <patternFill patternType="solid">
        <fgColor rgb="FFCCFBF1"/>
        <bgColor rgb="FFDCFCE7"/>
      </patternFill>
    </fill>
    <fill>
      <patternFill patternType="solid">
        <fgColor rgb="FFDCFCE7"/>
        <bgColor rgb="FFCCFBF1"/>
      </patternFill>
    </fill>
    <fill>
      <patternFill patternType="solid">
        <fgColor rgb="FFFEE2E2"/>
        <bgColor rgb="FFFFEDD5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FEDD5"/>
      </patternFill>
    </fill>
    <fill>
      <patternFill patternType="solid">
        <fgColor rgb="FFFFFF00"/>
        <bgColor rgb="FFFFFF00"/>
      </patternFill>
    </fill>
    <fill>
      <patternFill patternType="solid">
        <fgColor rgb="FFFFEDD5"/>
        <bgColor rgb="FFFEF3C7"/>
      </patternFill>
    </fill>
    <fill>
      <patternFill patternType="solid">
        <fgColor rgb="FFE5E7EB"/>
        <b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2">
    <xf numFmtId="0" fontId="0" fillId="0" borderId="0" xfId="0"/>
    <xf numFmtId="3" fontId="7" fillId="7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7" fillId="4" borderId="1" xfId="0" applyNumberFormat="1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9" fontId="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3" fontId="14" fillId="0" borderId="1" xfId="0" applyNumberFormat="1" applyFont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vertical="top" wrapText="1"/>
    </xf>
    <xf numFmtId="0" fontId="0" fillId="2" borderId="1" xfId="0" applyFill="1" applyBorder="1"/>
    <xf numFmtId="0" fontId="17" fillId="0" borderId="1" xfId="0" applyFont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8" fillId="11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3" fontId="20" fillId="9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F766E"/>
      <rgbColor rgb="FFF3F4F6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5E7EB"/>
      <rgbColor rgb="FFFFEDD5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tabSelected="1" zoomScaleNormal="100" workbookViewId="0">
      <selection activeCell="E8" sqref="E8"/>
    </sheetView>
  </sheetViews>
  <sheetFormatPr defaultColWidth="8.6640625" defaultRowHeight="14.4" x14ac:dyDescent="0.3"/>
  <cols>
    <col min="1" max="1" width="3" customWidth="1"/>
    <col min="2" max="2" width="34" customWidth="1"/>
    <col min="3" max="3" width="80" customWidth="1"/>
  </cols>
  <sheetData>
    <row r="2" spans="2:3" ht="24" customHeight="1" x14ac:dyDescent="0.4">
      <c r="B2" s="12" t="s">
        <v>0</v>
      </c>
    </row>
    <row r="3" spans="2:3" ht="15.75" customHeight="1" x14ac:dyDescent="0.3">
      <c r="B3" s="13" t="s">
        <v>1</v>
      </c>
    </row>
    <row r="4" spans="2:3" ht="15" customHeight="1" x14ac:dyDescent="0.3">
      <c r="B4" s="14" t="s">
        <v>2</v>
      </c>
    </row>
    <row r="6" spans="2:3" ht="69.75" customHeight="1" x14ac:dyDescent="0.3">
      <c r="B6" s="15" t="s">
        <v>3</v>
      </c>
      <c r="C6" s="16" t="s">
        <v>4</v>
      </c>
    </row>
    <row r="7" spans="2:3" ht="55.5" customHeight="1" x14ac:dyDescent="0.3">
      <c r="B7" s="15" t="s">
        <v>5</v>
      </c>
      <c r="C7" s="16" t="s">
        <v>6</v>
      </c>
    </row>
    <row r="8" spans="2:3" ht="55.5" customHeight="1" x14ac:dyDescent="0.3">
      <c r="B8" s="15" t="s">
        <v>7</v>
      </c>
      <c r="C8" s="16" t="s">
        <v>8</v>
      </c>
    </row>
    <row r="9" spans="2:3" ht="55.5" customHeight="1" x14ac:dyDescent="0.3">
      <c r="B9" s="15" t="s">
        <v>9</v>
      </c>
      <c r="C9" s="16" t="s">
        <v>10</v>
      </c>
    </row>
    <row r="10" spans="2:3" ht="55.5" customHeight="1" x14ac:dyDescent="0.3">
      <c r="B10" s="15" t="s">
        <v>11</v>
      </c>
      <c r="C10" s="16" t="s">
        <v>12</v>
      </c>
    </row>
    <row r="12" spans="2:3" ht="15" customHeight="1" x14ac:dyDescent="0.3">
      <c r="B12" s="17" t="s">
        <v>13</v>
      </c>
    </row>
    <row r="13" spans="2:3" ht="15" customHeight="1" x14ac:dyDescent="0.3">
      <c r="B13" s="18" t="s">
        <v>14</v>
      </c>
      <c r="C13" s="16" t="s">
        <v>15</v>
      </c>
    </row>
    <row r="14" spans="2:3" ht="15" customHeight="1" x14ac:dyDescent="0.3">
      <c r="B14" s="18" t="s">
        <v>16</v>
      </c>
      <c r="C14" s="16" t="s">
        <v>17</v>
      </c>
    </row>
    <row r="15" spans="2:3" ht="15" customHeight="1" x14ac:dyDescent="0.3">
      <c r="B15" s="18" t="s">
        <v>18</v>
      </c>
      <c r="C15" s="16" t="s">
        <v>19</v>
      </c>
    </row>
    <row r="16" spans="2:3" ht="15" customHeight="1" x14ac:dyDescent="0.3">
      <c r="B16" s="18" t="s">
        <v>20</v>
      </c>
      <c r="C16" s="16" t="s">
        <v>21</v>
      </c>
    </row>
    <row r="17" spans="2:3" ht="15" customHeight="1" x14ac:dyDescent="0.3">
      <c r="B17" s="18" t="s">
        <v>22</v>
      </c>
      <c r="C17" s="16" t="s">
        <v>23</v>
      </c>
    </row>
    <row r="18" spans="2:3" ht="15" customHeight="1" x14ac:dyDescent="0.3">
      <c r="B18" s="18" t="s">
        <v>24</v>
      </c>
      <c r="C18" s="16" t="s">
        <v>25</v>
      </c>
    </row>
    <row r="19" spans="2:3" ht="15" customHeight="1" x14ac:dyDescent="0.3">
      <c r="B19" s="18" t="s">
        <v>26</v>
      </c>
      <c r="C19" s="16" t="s">
        <v>27</v>
      </c>
    </row>
    <row r="20" spans="2:3" ht="15" customHeight="1" x14ac:dyDescent="0.3">
      <c r="B20" s="18" t="s">
        <v>28</v>
      </c>
      <c r="C20" s="16" t="s">
        <v>29</v>
      </c>
    </row>
    <row r="21" spans="2:3" ht="15" customHeight="1" x14ac:dyDescent="0.3">
      <c r="B21" s="18" t="s">
        <v>30</v>
      </c>
      <c r="C21" s="16" t="s">
        <v>31</v>
      </c>
    </row>
    <row r="22" spans="2:3" ht="15" customHeight="1" x14ac:dyDescent="0.3">
      <c r="B22" s="18" t="s">
        <v>32</v>
      </c>
      <c r="C22" s="16" t="s">
        <v>33</v>
      </c>
    </row>
    <row r="23" spans="2:3" ht="15" customHeight="1" x14ac:dyDescent="0.3">
      <c r="B23" s="18" t="s">
        <v>34</v>
      </c>
      <c r="C23" s="16" t="s">
        <v>35</v>
      </c>
    </row>
    <row r="24" spans="2:3" ht="15" customHeight="1" x14ac:dyDescent="0.3">
      <c r="B24" s="18" t="s">
        <v>36</v>
      </c>
      <c r="C24" s="16" t="s">
        <v>37</v>
      </c>
    </row>
    <row r="25" spans="2:3" ht="15" customHeight="1" x14ac:dyDescent="0.3">
      <c r="B25" s="18" t="s">
        <v>38</v>
      </c>
      <c r="C25" s="16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42" customWidth="1"/>
    <col min="3" max="3" width="24" customWidth="1"/>
    <col min="4" max="4" width="62" customWidth="1"/>
  </cols>
  <sheetData>
    <row r="2" spans="2:4" ht="19.5" customHeight="1" x14ac:dyDescent="0.4">
      <c r="B2" s="19" t="s">
        <v>40</v>
      </c>
    </row>
    <row r="3" spans="2:4" ht="15" customHeight="1" x14ac:dyDescent="0.3">
      <c r="B3" s="14" t="s">
        <v>41</v>
      </c>
    </row>
    <row r="5" spans="2:4" ht="19.5" customHeight="1" x14ac:dyDescent="0.3">
      <c r="B5" s="11" t="s">
        <v>42</v>
      </c>
      <c r="C5" s="11"/>
      <c r="D5" s="11"/>
    </row>
    <row r="6" spans="2:4" ht="15" customHeight="1" x14ac:dyDescent="0.3">
      <c r="B6" s="20" t="s">
        <v>43</v>
      </c>
      <c r="C6" s="20" t="s">
        <v>44</v>
      </c>
      <c r="D6" s="20" t="s">
        <v>45</v>
      </c>
    </row>
    <row r="7" spans="2:4" ht="15" customHeight="1" x14ac:dyDescent="0.3">
      <c r="B7" s="18" t="s">
        <v>46</v>
      </c>
      <c r="C7" s="21">
        <f>'02_Lane Model'!D7</f>
        <v>2500</v>
      </c>
      <c r="D7" s="22" t="s">
        <v>47</v>
      </c>
    </row>
    <row r="8" spans="2:4" ht="15" customHeight="1" x14ac:dyDescent="0.3">
      <c r="B8" s="18" t="s">
        <v>48</v>
      </c>
      <c r="C8" s="21">
        <f>'02_Lane Model'!D10</f>
        <v>504</v>
      </c>
      <c r="D8" s="22" t="s">
        <v>49</v>
      </c>
    </row>
    <row r="9" spans="2:4" ht="15" customHeight="1" x14ac:dyDescent="0.3">
      <c r="B9" s="18" t="s">
        <v>50</v>
      </c>
      <c r="C9" s="21">
        <f>'02_Lane Model'!D11</f>
        <v>504000</v>
      </c>
      <c r="D9" s="22" t="s">
        <v>51</v>
      </c>
    </row>
    <row r="10" spans="2:4" ht="15" customHeight="1" x14ac:dyDescent="0.3">
      <c r="B10" s="18" t="s">
        <v>52</v>
      </c>
      <c r="C10" s="21">
        <f>'02_Lane Model'!D12</f>
        <v>6048000</v>
      </c>
      <c r="D10" s="22" t="s">
        <v>53</v>
      </c>
    </row>
    <row r="11" spans="2:4" ht="30" customHeight="1" x14ac:dyDescent="0.3">
      <c r="B11" s="10" t="s">
        <v>54</v>
      </c>
      <c r="C11" s="10"/>
      <c r="D11" s="10"/>
    </row>
    <row r="13" spans="2:4" ht="19.5" customHeight="1" x14ac:dyDescent="0.3">
      <c r="B13" s="11" t="s">
        <v>55</v>
      </c>
      <c r="C13" s="11"/>
      <c r="D13" s="11"/>
    </row>
    <row r="14" spans="2:4" ht="15" customHeight="1" x14ac:dyDescent="0.3">
      <c r="B14" s="20" t="s">
        <v>43</v>
      </c>
      <c r="C14" s="20" t="s">
        <v>56</v>
      </c>
      <c r="D14" s="20" t="s">
        <v>45</v>
      </c>
    </row>
    <row r="15" spans="2:4" ht="15" customHeight="1" x14ac:dyDescent="0.3">
      <c r="B15" s="16" t="s">
        <v>57</v>
      </c>
      <c r="C15" s="23">
        <f>'04_Spend Capacity'!D19</f>
        <v>3494022</v>
      </c>
      <c r="D15" s="22" t="s">
        <v>58</v>
      </c>
    </row>
    <row r="16" spans="2:4" ht="15" customHeight="1" x14ac:dyDescent="0.3">
      <c r="B16" s="16" t="s">
        <v>59</v>
      </c>
      <c r="C16" s="23">
        <f>'04_Spend Capacity'!E19</f>
        <v>1291606</v>
      </c>
      <c r="D16" s="22" t="s">
        <v>60</v>
      </c>
    </row>
    <row r="17" spans="2:4" ht="15" customHeight="1" x14ac:dyDescent="0.3">
      <c r="B17" s="16" t="s">
        <v>61</v>
      </c>
      <c r="C17" s="23">
        <f>'04_Spend Capacity'!F19</f>
        <v>172200</v>
      </c>
      <c r="D17" s="22" t="s">
        <v>62</v>
      </c>
    </row>
    <row r="18" spans="2:4" ht="15" customHeight="1" x14ac:dyDescent="0.3">
      <c r="B18" s="16" t="s">
        <v>63</v>
      </c>
      <c r="C18" s="23">
        <f>'04_Spend Capacity'!D41</f>
        <v>360000</v>
      </c>
      <c r="D18" s="22" t="s">
        <v>64</v>
      </c>
    </row>
    <row r="19" spans="2:4" ht="15" customHeight="1" x14ac:dyDescent="0.3">
      <c r="B19" s="18" t="s">
        <v>65</v>
      </c>
      <c r="C19" s="24">
        <f>'04_Spend Capacity'!D49</f>
        <v>5317828</v>
      </c>
      <c r="D19" s="22" t="s">
        <v>66</v>
      </c>
    </row>
    <row r="20" spans="2:4" ht="15" customHeight="1" x14ac:dyDescent="0.3">
      <c r="B20" s="16" t="s">
        <v>67</v>
      </c>
      <c r="C20" s="23">
        <v>161</v>
      </c>
      <c r="D20" s="22" t="s">
        <v>68</v>
      </c>
    </row>
    <row r="22" spans="2:4" ht="19.5" customHeight="1" x14ac:dyDescent="0.3">
      <c r="B22" s="11" t="s">
        <v>69</v>
      </c>
      <c r="C22" s="11"/>
      <c r="D22" s="11"/>
    </row>
    <row r="23" spans="2:4" ht="15" customHeight="1" x14ac:dyDescent="0.3">
      <c r="B23" s="25" t="s">
        <v>70</v>
      </c>
      <c r="C23" s="9" t="s">
        <v>71</v>
      </c>
      <c r="D23" s="9"/>
    </row>
    <row r="24" spans="2:4" ht="15" customHeight="1" x14ac:dyDescent="0.3">
      <c r="B24" s="16" t="s">
        <v>72</v>
      </c>
      <c r="C24" s="8" t="s">
        <v>73</v>
      </c>
      <c r="D24" s="8"/>
    </row>
    <row r="25" spans="2:4" ht="15" customHeight="1" x14ac:dyDescent="0.3">
      <c r="B25" s="16" t="s">
        <v>74</v>
      </c>
      <c r="C25" s="8" t="s">
        <v>75</v>
      </c>
      <c r="D25" s="8"/>
    </row>
    <row r="26" spans="2:4" ht="15" customHeight="1" x14ac:dyDescent="0.3">
      <c r="B26" s="16" t="s">
        <v>76</v>
      </c>
      <c r="C26" s="8" t="s">
        <v>77</v>
      </c>
      <c r="D26" s="8"/>
    </row>
    <row r="27" spans="2:4" ht="15" customHeight="1" x14ac:dyDescent="0.3">
      <c r="B27" s="16" t="s">
        <v>78</v>
      </c>
      <c r="C27" s="8" t="s">
        <v>79</v>
      </c>
      <c r="D27" s="8"/>
    </row>
    <row r="28" spans="2:4" ht="15" customHeight="1" x14ac:dyDescent="0.3">
      <c r="B28" s="16" t="s">
        <v>80</v>
      </c>
      <c r="C28" s="8" t="s">
        <v>81</v>
      </c>
      <c r="D28" s="8"/>
    </row>
    <row r="30" spans="2:4" ht="19.5" customHeight="1" x14ac:dyDescent="0.3">
      <c r="B30" s="11" t="s">
        <v>82</v>
      </c>
      <c r="C30" s="11"/>
      <c r="D30" s="11"/>
    </row>
    <row r="31" spans="2:4" ht="42" customHeight="1" x14ac:dyDescent="0.3">
      <c r="B31" s="8" t="s">
        <v>83</v>
      </c>
      <c r="C31" s="8"/>
      <c r="D31" s="8"/>
    </row>
    <row r="33" spans="2:4" ht="19.5" customHeight="1" x14ac:dyDescent="0.3">
      <c r="B33" s="11" t="s">
        <v>84</v>
      </c>
      <c r="C33" s="11"/>
      <c r="D33" s="11"/>
    </row>
    <row r="34" spans="2:4" x14ac:dyDescent="0.3">
      <c r="B34" s="18" t="s">
        <v>85</v>
      </c>
      <c r="C34" s="21">
        <f>'10_Actuals Tracker'!C7</f>
        <v>87370</v>
      </c>
      <c r="D34" s="22" t="s">
        <v>86</v>
      </c>
    </row>
    <row r="35" spans="2:4" x14ac:dyDescent="0.3">
      <c r="B35" s="18" t="s">
        <v>87</v>
      </c>
      <c r="C35" s="21">
        <f>'10_Actuals Tracker'!C9</f>
        <v>361</v>
      </c>
      <c r="D35" s="22" t="s">
        <v>88</v>
      </c>
    </row>
    <row r="36" spans="2:4" x14ac:dyDescent="0.3">
      <c r="B36" s="18" t="s">
        <v>89</v>
      </c>
      <c r="C36" s="21">
        <v>202000</v>
      </c>
      <c r="D36" s="22" t="s">
        <v>90</v>
      </c>
    </row>
    <row r="37" spans="2:4" ht="26.4" x14ac:dyDescent="0.3">
      <c r="B37" s="18" t="s">
        <v>91</v>
      </c>
      <c r="C37" s="24">
        <f>'10_Actuals Tracker'!C22</f>
        <v>4340400</v>
      </c>
      <c r="D37" s="22" t="s">
        <v>92</v>
      </c>
    </row>
  </sheetData>
  <mergeCells count="13">
    <mergeCell ref="B30:D30"/>
    <mergeCell ref="B31:D31"/>
    <mergeCell ref="B33:D33"/>
    <mergeCell ref="C24:D24"/>
    <mergeCell ref="C25:D25"/>
    <mergeCell ref="C26:D26"/>
    <mergeCell ref="C27:D27"/>
    <mergeCell ref="C28:D28"/>
    <mergeCell ref="B5:D5"/>
    <mergeCell ref="B11:D11"/>
    <mergeCell ref="B13:D13"/>
    <mergeCell ref="B22:D22"/>
    <mergeCell ref="C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0"/>
  <sheetViews>
    <sheetView showGridLines="0" topLeftCell="A12" zoomScaleNormal="100" workbookViewId="0">
      <selection activeCell="A12" sqref="A1:XFD1048576"/>
    </sheetView>
  </sheetViews>
  <sheetFormatPr defaultColWidth="8.6640625" defaultRowHeight="14.4" x14ac:dyDescent="0.3"/>
  <cols>
    <col min="1" max="1" width="3" customWidth="1"/>
    <col min="2" max="2" width="22" customWidth="1"/>
    <col min="3" max="3" width="16" customWidth="1"/>
    <col min="4" max="6" width="14" customWidth="1"/>
    <col min="7" max="7" width="16" customWidth="1"/>
    <col min="8" max="8" width="42" customWidth="1"/>
  </cols>
  <sheetData>
    <row r="2" spans="2:8" ht="21" x14ac:dyDescent="0.4">
      <c r="B2" s="19" t="s">
        <v>93</v>
      </c>
    </row>
    <row r="3" spans="2:8" x14ac:dyDescent="0.3">
      <c r="B3" s="14" t="s">
        <v>94</v>
      </c>
    </row>
    <row r="5" spans="2:8" x14ac:dyDescent="0.3">
      <c r="B5" s="11" t="s">
        <v>95</v>
      </c>
      <c r="C5" s="11"/>
      <c r="D5" s="11"/>
      <c r="E5" s="11"/>
      <c r="F5" s="11"/>
      <c r="G5" s="11"/>
      <c r="H5" s="11"/>
    </row>
    <row r="6" spans="2:8" x14ac:dyDescent="0.3">
      <c r="B6" s="20" t="s">
        <v>96</v>
      </c>
      <c r="C6" s="20" t="s">
        <v>97</v>
      </c>
      <c r="D6" s="20" t="s">
        <v>98</v>
      </c>
      <c r="E6" s="20"/>
      <c r="F6" s="20" t="s">
        <v>99</v>
      </c>
      <c r="G6" s="20"/>
      <c r="H6" s="20"/>
    </row>
    <row r="7" spans="2:8" x14ac:dyDescent="0.3">
      <c r="B7" s="18" t="s">
        <v>100</v>
      </c>
      <c r="C7" s="26" t="s">
        <v>101</v>
      </c>
      <c r="D7" s="27">
        <v>2500</v>
      </c>
      <c r="E7" s="16"/>
      <c r="F7" s="28">
        <f>ROUND(D7/30,0)</f>
        <v>83</v>
      </c>
      <c r="G7" s="16"/>
      <c r="H7" s="22" t="s">
        <v>102</v>
      </c>
    </row>
    <row r="8" spans="2:8" ht="26.4" x14ac:dyDescent="0.3">
      <c r="B8" s="16" t="s">
        <v>103</v>
      </c>
      <c r="C8" s="29">
        <v>0.6</v>
      </c>
      <c r="D8" s="28">
        <f>ROUND(D7*C8,0)</f>
        <v>1500</v>
      </c>
      <c r="E8" s="16"/>
      <c r="F8" s="28">
        <f>ROUND(D8/30,0)</f>
        <v>50</v>
      </c>
      <c r="G8" s="16"/>
      <c r="H8" s="22" t="s">
        <v>104</v>
      </c>
    </row>
    <row r="9" spans="2:8" x14ac:dyDescent="0.3">
      <c r="B9" s="16" t="s">
        <v>105</v>
      </c>
      <c r="C9" s="29">
        <v>0.7</v>
      </c>
      <c r="D9" s="28">
        <f>ROUND(D8*C9,0)</f>
        <v>1050</v>
      </c>
      <c r="E9" s="16"/>
      <c r="F9" s="28">
        <f>ROUND(D9/30,0)</f>
        <v>35</v>
      </c>
      <c r="G9" s="16"/>
      <c r="H9" s="22" t="s">
        <v>106</v>
      </c>
    </row>
    <row r="10" spans="2:8" x14ac:dyDescent="0.3">
      <c r="B10" s="18" t="s">
        <v>107</v>
      </c>
      <c r="C10" s="29">
        <v>0.48</v>
      </c>
      <c r="D10" s="30">
        <f>ROUND(D9*C10,0)</f>
        <v>504</v>
      </c>
      <c r="E10" s="16"/>
      <c r="F10" s="28">
        <f>ROUND(D10/30,0)</f>
        <v>17</v>
      </c>
      <c r="G10" s="16"/>
      <c r="H10" s="22" t="s">
        <v>108</v>
      </c>
    </row>
    <row r="11" spans="2:8" x14ac:dyDescent="0.3">
      <c r="B11" s="18" t="s">
        <v>50</v>
      </c>
      <c r="C11" s="27">
        <v>1000</v>
      </c>
      <c r="D11" s="31">
        <f>D10*C11</f>
        <v>504000</v>
      </c>
      <c r="E11" s="16"/>
      <c r="F11" s="28">
        <f>ROUND(D11/30,0)</f>
        <v>16800</v>
      </c>
      <c r="G11" s="16"/>
      <c r="H11" s="22" t="s">
        <v>109</v>
      </c>
    </row>
    <row r="12" spans="2:8" x14ac:dyDescent="0.3">
      <c r="B12" s="18" t="s">
        <v>52</v>
      </c>
      <c r="C12" s="26" t="s">
        <v>110</v>
      </c>
      <c r="D12" s="31">
        <f>D11*12</f>
        <v>6048000</v>
      </c>
      <c r="E12" s="16"/>
      <c r="F12" s="16"/>
      <c r="G12" s="16"/>
      <c r="H12" s="16"/>
    </row>
    <row r="14" spans="2:8" x14ac:dyDescent="0.3">
      <c r="B14" s="11" t="s">
        <v>111</v>
      </c>
      <c r="C14" s="11"/>
      <c r="D14" s="11"/>
      <c r="E14" s="11"/>
      <c r="F14" s="11"/>
      <c r="G14" s="11"/>
      <c r="H14" s="11"/>
    </row>
    <row r="15" spans="2:8" x14ac:dyDescent="0.3">
      <c r="B15" s="20" t="s">
        <v>112</v>
      </c>
      <c r="C15" s="20" t="s">
        <v>113</v>
      </c>
      <c r="D15" s="20" t="s">
        <v>114</v>
      </c>
      <c r="E15" s="20" t="s">
        <v>115</v>
      </c>
      <c r="F15" s="20" t="s">
        <v>116</v>
      </c>
      <c r="G15" s="20" t="s">
        <v>117</v>
      </c>
      <c r="H15" s="20" t="s">
        <v>118</v>
      </c>
    </row>
    <row r="16" spans="2:8" ht="39.6" x14ac:dyDescent="0.3">
      <c r="B16" s="18" t="s">
        <v>119</v>
      </c>
      <c r="C16" s="29">
        <v>0.35</v>
      </c>
      <c r="D16" s="28">
        <f>ROUND($D$7*C16,0)</f>
        <v>875</v>
      </c>
      <c r="E16" s="28">
        <f>ROUND($D$11*C16,0)</f>
        <v>176400</v>
      </c>
      <c r="F16" s="26" t="s">
        <v>120</v>
      </c>
      <c r="G16" s="16" t="s">
        <v>121</v>
      </c>
      <c r="H16" s="32" t="s">
        <v>122</v>
      </c>
    </row>
    <row r="17" spans="2:8" ht="26.4" x14ac:dyDescent="0.3">
      <c r="B17" s="18" t="s">
        <v>123</v>
      </c>
      <c r="C17" s="29">
        <v>0.2</v>
      </c>
      <c r="D17" s="28">
        <f>ROUND($D$7*C17,0)</f>
        <v>500</v>
      </c>
      <c r="E17" s="28">
        <f>ROUND($D$11*C17,0)</f>
        <v>100800</v>
      </c>
      <c r="F17" s="26" t="s">
        <v>124</v>
      </c>
      <c r="G17" s="16" t="s">
        <v>125</v>
      </c>
      <c r="H17" s="32" t="s">
        <v>122</v>
      </c>
    </row>
    <row r="18" spans="2:8" ht="39.6" x14ac:dyDescent="0.3">
      <c r="B18" s="18" t="s">
        <v>126</v>
      </c>
      <c r="C18" s="29">
        <v>0.2</v>
      </c>
      <c r="D18" s="28">
        <f>ROUND($D$7*C18,0)</f>
        <v>500</v>
      </c>
      <c r="E18" s="28">
        <f>ROUND($D$11*C18,0)</f>
        <v>100800</v>
      </c>
      <c r="F18" s="26" t="s">
        <v>127</v>
      </c>
      <c r="G18" s="16" t="s">
        <v>128</v>
      </c>
      <c r="H18" s="32" t="s">
        <v>122</v>
      </c>
    </row>
    <row r="19" spans="2:8" ht="39.6" x14ac:dyDescent="0.3">
      <c r="B19" s="18" t="s">
        <v>129</v>
      </c>
      <c r="C19" s="29">
        <v>0.2</v>
      </c>
      <c r="D19" s="28">
        <f>ROUND($D$7*C19,0)</f>
        <v>500</v>
      </c>
      <c r="E19" s="28">
        <f>ROUND($D$11*C19,0)</f>
        <v>100800</v>
      </c>
      <c r="F19" s="26" t="s">
        <v>130</v>
      </c>
      <c r="G19" s="16" t="s">
        <v>131</v>
      </c>
      <c r="H19" s="33" t="s">
        <v>132</v>
      </c>
    </row>
    <row r="20" spans="2:8" ht="26.4" x14ac:dyDescent="0.3">
      <c r="B20" s="18" t="s">
        <v>133</v>
      </c>
      <c r="C20" s="29">
        <v>0.05</v>
      </c>
      <c r="D20" s="28">
        <f>ROUND($D$7*C20,0)</f>
        <v>125</v>
      </c>
      <c r="E20" s="28">
        <f>ROUND($D$11*C20,0)</f>
        <v>25200</v>
      </c>
      <c r="F20" s="26" t="s">
        <v>134</v>
      </c>
      <c r="G20" s="16" t="s">
        <v>135</v>
      </c>
      <c r="H20" s="33" t="s">
        <v>136</v>
      </c>
    </row>
    <row r="21" spans="2:8" x14ac:dyDescent="0.3">
      <c r="B21" s="34" t="s">
        <v>137</v>
      </c>
      <c r="C21" s="35">
        <f>SUM(C16:C20)</f>
        <v>1</v>
      </c>
      <c r="D21" s="30">
        <f>SUM(D16:D20)</f>
        <v>2500</v>
      </c>
      <c r="E21" s="30">
        <f>SUM(E16:E20)</f>
        <v>504000</v>
      </c>
      <c r="F21" s="36"/>
      <c r="G21" s="36"/>
      <c r="H21" s="36"/>
    </row>
    <row r="23" spans="2:8" x14ac:dyDescent="0.3">
      <c r="B23" s="11" t="s">
        <v>138</v>
      </c>
      <c r="C23" s="11"/>
      <c r="D23" s="11"/>
      <c r="E23" s="11"/>
      <c r="F23" s="11"/>
      <c r="G23" s="11"/>
      <c r="H23" s="11"/>
    </row>
    <row r="24" spans="2:8" x14ac:dyDescent="0.3">
      <c r="B24" s="20" t="s">
        <v>139</v>
      </c>
      <c r="C24" s="20" t="s">
        <v>140</v>
      </c>
      <c r="D24" s="20" t="s">
        <v>141</v>
      </c>
      <c r="E24" s="20" t="s">
        <v>142</v>
      </c>
      <c r="F24" s="20" t="s">
        <v>143</v>
      </c>
      <c r="G24" s="20" t="s">
        <v>144</v>
      </c>
      <c r="H24" s="20" t="s">
        <v>145</v>
      </c>
    </row>
    <row r="25" spans="2:8" x14ac:dyDescent="0.3">
      <c r="B25" s="18" t="s">
        <v>120</v>
      </c>
      <c r="C25" s="27">
        <v>1000</v>
      </c>
      <c r="D25" s="28">
        <f>ROUND(C25*0.7,0)</f>
        <v>700</v>
      </c>
      <c r="E25" s="28">
        <f>ROUND(D25*0.4,0)</f>
        <v>280</v>
      </c>
      <c r="F25" s="28">
        <f>ROUND(D25*0.3,0)</f>
        <v>210</v>
      </c>
      <c r="G25" s="28">
        <f>ROUND(D25*0.3,0)</f>
        <v>210</v>
      </c>
      <c r="H25" s="26" t="str">
        <f>ROUND(C25*0.15,0)&amp;" / "&amp;ROUND(C25*0.15,0)</f>
        <v>150 / 150</v>
      </c>
    </row>
    <row r="26" spans="2:8" x14ac:dyDescent="0.3">
      <c r="B26" s="18" t="s">
        <v>146</v>
      </c>
      <c r="C26" s="27">
        <v>1000</v>
      </c>
      <c r="D26" s="28">
        <f>ROUND(C26*0.7,0)</f>
        <v>700</v>
      </c>
      <c r="E26" s="28">
        <f>ROUND(D26*0.4,0)</f>
        <v>280</v>
      </c>
      <c r="F26" s="28">
        <f>ROUND(D26*0.3,0)</f>
        <v>210</v>
      </c>
      <c r="G26" s="28">
        <f>ROUND(D26*0.3,0)</f>
        <v>210</v>
      </c>
      <c r="H26" s="26" t="str">
        <f>ROUND(C26*0.15,0)&amp;" / "&amp;ROUND(C26*0.15,0)</f>
        <v>150 / 150</v>
      </c>
    </row>
    <row r="27" spans="2:8" x14ac:dyDescent="0.3">
      <c r="B27" s="18" t="s">
        <v>124</v>
      </c>
      <c r="C27" s="27">
        <v>500</v>
      </c>
      <c r="D27" s="28">
        <f>ROUND(C27*0.7,0)</f>
        <v>350</v>
      </c>
      <c r="E27" s="28">
        <f>ROUND(D27*0.4,0)</f>
        <v>140</v>
      </c>
      <c r="F27" s="28">
        <f>ROUND(D27*0.3,0)</f>
        <v>105</v>
      </c>
      <c r="G27" s="28">
        <f>ROUND(D27*0.3,0)</f>
        <v>105</v>
      </c>
      <c r="H27" s="26" t="str">
        <f>ROUND(C27*0.15,0)&amp;" / "&amp;ROUND(C27*0.15,0)</f>
        <v>75 / 75</v>
      </c>
    </row>
    <row r="28" spans="2:8" x14ac:dyDescent="0.3">
      <c r="B28" s="34" t="s">
        <v>147</v>
      </c>
      <c r="C28" s="30">
        <f>SUM(C25:C27)</f>
        <v>2500</v>
      </c>
      <c r="D28" s="30">
        <f>SUM(D25:D27)</f>
        <v>1750</v>
      </c>
      <c r="E28" s="30">
        <f>SUM(E25:E27)</f>
        <v>700</v>
      </c>
      <c r="F28" s="30">
        <f>SUM(F25:F27)</f>
        <v>525</v>
      </c>
      <c r="G28" s="30">
        <f>SUM(G25:G27)</f>
        <v>525</v>
      </c>
      <c r="H28" s="36"/>
    </row>
    <row r="30" spans="2:8" x14ac:dyDescent="0.3">
      <c r="B30" s="7" t="s">
        <v>148</v>
      </c>
      <c r="C30" s="7"/>
      <c r="D30" s="7"/>
      <c r="E30" s="7"/>
      <c r="F30" s="7"/>
      <c r="G30" s="7"/>
      <c r="H30" s="7"/>
    </row>
  </sheetData>
  <mergeCells count="4">
    <mergeCell ref="B5:H5"/>
    <mergeCell ref="B14:H14"/>
    <mergeCell ref="B23:H23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9"/>
  <sheetViews>
    <sheetView showGridLines="0" topLeftCell="A10" zoomScaleNormal="100" workbookViewId="0">
      <selection activeCell="A10" sqref="A1:XFD1048576"/>
    </sheetView>
  </sheetViews>
  <sheetFormatPr defaultColWidth="8.6640625" defaultRowHeight="14.4" x14ac:dyDescent="0.3"/>
  <cols>
    <col min="1" max="1" width="3" customWidth="1"/>
    <col min="2" max="2" width="30" customWidth="1"/>
    <col min="3" max="3" width="13" customWidth="1"/>
    <col min="4" max="4" width="52" customWidth="1"/>
    <col min="5" max="5" width="20" customWidth="1"/>
    <col min="6" max="6" width="44" customWidth="1"/>
  </cols>
  <sheetData>
    <row r="2" spans="2:6" ht="21" x14ac:dyDescent="0.4">
      <c r="B2" s="19" t="s">
        <v>149</v>
      </c>
    </row>
    <row r="3" spans="2:6" x14ac:dyDescent="0.3">
      <c r="B3" s="14" t="s">
        <v>150</v>
      </c>
    </row>
    <row r="5" spans="2:6" x14ac:dyDescent="0.3">
      <c r="B5" s="20" t="s">
        <v>151</v>
      </c>
      <c r="C5" s="20" t="s">
        <v>152</v>
      </c>
      <c r="D5" s="20" t="s">
        <v>153</v>
      </c>
      <c r="E5" s="20" t="s">
        <v>154</v>
      </c>
      <c r="F5" s="20" t="s">
        <v>155</v>
      </c>
    </row>
    <row r="6" spans="2:6" ht="26.4" x14ac:dyDescent="0.3">
      <c r="B6" s="18" t="s">
        <v>156</v>
      </c>
      <c r="C6" s="32" t="s">
        <v>157</v>
      </c>
      <c r="D6" s="16" t="s">
        <v>158</v>
      </c>
      <c r="E6" s="16" t="s">
        <v>159</v>
      </c>
      <c r="F6" s="16" t="s">
        <v>160</v>
      </c>
    </row>
    <row r="7" spans="2:6" ht="39.6" x14ac:dyDescent="0.3">
      <c r="B7" s="18" t="s">
        <v>161</v>
      </c>
      <c r="C7" s="32" t="s">
        <v>157</v>
      </c>
      <c r="D7" s="16" t="s">
        <v>162</v>
      </c>
      <c r="E7" s="16" t="s">
        <v>159</v>
      </c>
      <c r="F7" s="16" t="s">
        <v>163</v>
      </c>
    </row>
    <row r="8" spans="2:6" ht="26.4" x14ac:dyDescent="0.3">
      <c r="B8" s="18" t="s">
        <v>164</v>
      </c>
      <c r="C8" s="32" t="s">
        <v>157</v>
      </c>
      <c r="D8" s="16" t="s">
        <v>165</v>
      </c>
      <c r="E8" s="16" t="s">
        <v>159</v>
      </c>
      <c r="F8" s="16" t="s">
        <v>166</v>
      </c>
    </row>
    <row r="9" spans="2:6" ht="52.8" x14ac:dyDescent="0.3">
      <c r="B9" s="18" t="s">
        <v>167</v>
      </c>
      <c r="C9" s="33" t="s">
        <v>168</v>
      </c>
      <c r="D9" s="16" t="s">
        <v>169</v>
      </c>
      <c r="E9" s="16" t="s">
        <v>170</v>
      </c>
      <c r="F9" s="16" t="s">
        <v>171</v>
      </c>
    </row>
    <row r="10" spans="2:6" ht="26.4" x14ac:dyDescent="0.3">
      <c r="B10" s="18" t="s">
        <v>172</v>
      </c>
      <c r="C10" s="32" t="s">
        <v>157</v>
      </c>
      <c r="D10" s="16" t="s">
        <v>173</v>
      </c>
      <c r="E10" s="16" t="s">
        <v>174</v>
      </c>
      <c r="F10" s="16" t="s">
        <v>101</v>
      </c>
    </row>
    <row r="11" spans="2:6" x14ac:dyDescent="0.3">
      <c r="B11" s="18" t="s">
        <v>175</v>
      </c>
      <c r="C11" s="33" t="s">
        <v>168</v>
      </c>
      <c r="D11" s="16" t="s">
        <v>176</v>
      </c>
      <c r="E11" s="16" t="s">
        <v>177</v>
      </c>
      <c r="F11" s="16" t="s">
        <v>178</v>
      </c>
    </row>
    <row r="12" spans="2:6" ht="39.6" x14ac:dyDescent="0.3">
      <c r="B12" s="18" t="s">
        <v>179</v>
      </c>
      <c r="C12" s="37" t="s">
        <v>180</v>
      </c>
      <c r="D12" s="16" t="s">
        <v>181</v>
      </c>
      <c r="E12" s="16" t="s">
        <v>182</v>
      </c>
      <c r="F12" s="16" t="s">
        <v>183</v>
      </c>
    </row>
    <row r="13" spans="2:6" ht="39.6" x14ac:dyDescent="0.3">
      <c r="B13" s="18" t="s">
        <v>184</v>
      </c>
      <c r="C13" s="37" t="s">
        <v>180</v>
      </c>
      <c r="D13" s="16" t="s">
        <v>185</v>
      </c>
      <c r="E13" s="16" t="s">
        <v>182</v>
      </c>
      <c r="F13" s="16" t="s">
        <v>186</v>
      </c>
    </row>
    <row r="14" spans="2:6" ht="39.6" x14ac:dyDescent="0.3">
      <c r="B14" s="18" t="s">
        <v>187</v>
      </c>
      <c r="C14" s="37" t="s">
        <v>180</v>
      </c>
      <c r="D14" s="16" t="s">
        <v>188</v>
      </c>
      <c r="E14" s="16" t="s">
        <v>182</v>
      </c>
      <c r="F14" s="16" t="s">
        <v>189</v>
      </c>
    </row>
    <row r="15" spans="2:6" ht="39.6" x14ac:dyDescent="0.3">
      <c r="B15" s="18" t="s">
        <v>190</v>
      </c>
      <c r="C15" s="33" t="s">
        <v>191</v>
      </c>
      <c r="D15" s="16" t="s">
        <v>192</v>
      </c>
      <c r="E15" s="16" t="s">
        <v>193</v>
      </c>
      <c r="F15" s="16" t="s">
        <v>194</v>
      </c>
    </row>
    <row r="16" spans="2:6" ht="26.4" x14ac:dyDescent="0.3">
      <c r="B16" s="18" t="s">
        <v>195</v>
      </c>
      <c r="C16" s="33" t="s">
        <v>168</v>
      </c>
      <c r="D16" s="16" t="s">
        <v>196</v>
      </c>
      <c r="E16" s="16" t="s">
        <v>197</v>
      </c>
      <c r="F16" s="16" t="s">
        <v>198</v>
      </c>
    </row>
    <row r="17" spans="2:6" ht="39.6" x14ac:dyDescent="0.3">
      <c r="B17" s="18" t="s">
        <v>199</v>
      </c>
      <c r="C17" s="33" t="s">
        <v>168</v>
      </c>
      <c r="D17" s="16" t="s">
        <v>200</v>
      </c>
      <c r="E17" s="16" t="s">
        <v>201</v>
      </c>
      <c r="F17" s="16" t="s">
        <v>202</v>
      </c>
    </row>
    <row r="19" spans="2:6" x14ac:dyDescent="0.3">
      <c r="B19" s="6" t="s">
        <v>203</v>
      </c>
      <c r="C19" s="6"/>
      <c r="D19" s="6"/>
      <c r="E19" s="6"/>
      <c r="F19" s="6"/>
    </row>
  </sheetData>
  <mergeCells count="1"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60"/>
  <sheetViews>
    <sheetView showGridLines="0" topLeftCell="A43" zoomScaleNormal="100" workbookViewId="0">
      <selection activeCell="D52" sqref="D52"/>
    </sheetView>
  </sheetViews>
  <sheetFormatPr defaultColWidth="8.6640625" defaultRowHeight="14.4" x14ac:dyDescent="0.3"/>
  <cols>
    <col min="1" max="1" width="3" customWidth="1"/>
    <col min="2" max="2" width="8" customWidth="1"/>
    <col min="3" max="3" width="9" customWidth="1"/>
    <col min="4" max="5" width="15" customWidth="1"/>
    <col min="6" max="6" width="13" customWidth="1"/>
    <col min="7" max="7" width="15" customWidth="1"/>
    <col min="8" max="8" width="12" customWidth="1"/>
    <col min="9" max="9" width="45" customWidth="1"/>
  </cols>
  <sheetData>
    <row r="2" spans="2:9" ht="21" x14ac:dyDescent="0.4">
      <c r="B2" s="19" t="s">
        <v>204</v>
      </c>
    </row>
    <row r="3" spans="2:9" x14ac:dyDescent="0.3">
      <c r="B3" s="14" t="s">
        <v>205</v>
      </c>
    </row>
    <row r="5" spans="2:9" x14ac:dyDescent="0.3">
      <c r="B5" s="11" t="s">
        <v>206</v>
      </c>
      <c r="C5" s="11"/>
      <c r="D5" s="11"/>
      <c r="E5" s="11"/>
      <c r="F5" s="11"/>
      <c r="G5" s="11"/>
      <c r="H5" s="11"/>
      <c r="I5" s="11"/>
    </row>
    <row r="6" spans="2:9" x14ac:dyDescent="0.3">
      <c r="B6" s="20" t="s">
        <v>207</v>
      </c>
      <c r="C6" s="20" t="s">
        <v>208</v>
      </c>
      <c r="D6" s="20" t="s">
        <v>209</v>
      </c>
      <c r="E6" s="20" t="s">
        <v>210</v>
      </c>
      <c r="F6" s="20" t="s">
        <v>211</v>
      </c>
      <c r="G6" s="20" t="s">
        <v>137</v>
      </c>
      <c r="H6" s="20" t="s">
        <v>212</v>
      </c>
      <c r="I6" s="20" t="s">
        <v>45</v>
      </c>
    </row>
    <row r="7" spans="2:9" ht="26.4" x14ac:dyDescent="0.3">
      <c r="B7" s="26" t="s">
        <v>213</v>
      </c>
      <c r="C7" s="26" t="s">
        <v>214</v>
      </c>
      <c r="D7" s="38">
        <v>168406</v>
      </c>
      <c r="E7" s="38">
        <v>42084</v>
      </c>
      <c r="F7" s="38">
        <v>14350</v>
      </c>
      <c r="G7" s="21">
        <f t="shared" ref="G7:G18" si="0">SUM(D7:F7)</f>
        <v>224840</v>
      </c>
      <c r="H7" s="23">
        <f t="shared" ref="H7:H18" si="1">ROUND(D7/$D$52,0)</f>
        <v>1046</v>
      </c>
      <c r="I7" s="22" t="s">
        <v>215</v>
      </c>
    </row>
    <row r="8" spans="2:9" ht="26.4" x14ac:dyDescent="0.3">
      <c r="B8" s="26" t="s">
        <v>216</v>
      </c>
      <c r="C8" s="26" t="s">
        <v>214</v>
      </c>
      <c r="D8" s="38">
        <v>185150</v>
      </c>
      <c r="E8" s="38">
        <v>46345</v>
      </c>
      <c r="F8" s="38">
        <v>14350</v>
      </c>
      <c r="G8" s="21">
        <f t="shared" si="0"/>
        <v>245845</v>
      </c>
      <c r="H8" s="23">
        <f t="shared" si="1"/>
        <v>1150</v>
      </c>
      <c r="I8" s="22" t="s">
        <v>217</v>
      </c>
    </row>
    <row r="9" spans="2:9" x14ac:dyDescent="0.3">
      <c r="B9" s="26" t="s">
        <v>218</v>
      </c>
      <c r="C9" s="26" t="s">
        <v>214</v>
      </c>
      <c r="D9" s="38">
        <v>207690</v>
      </c>
      <c r="E9" s="38">
        <v>51876</v>
      </c>
      <c r="F9" s="38">
        <v>14350</v>
      </c>
      <c r="G9" s="21">
        <f t="shared" si="0"/>
        <v>273916</v>
      </c>
      <c r="H9" s="23">
        <f t="shared" si="1"/>
        <v>1290</v>
      </c>
      <c r="I9" s="22" t="s">
        <v>219</v>
      </c>
    </row>
    <row r="10" spans="2:9" x14ac:dyDescent="0.3">
      <c r="B10" s="26" t="s">
        <v>220</v>
      </c>
      <c r="C10" s="26" t="s">
        <v>221</v>
      </c>
      <c r="D10" s="38">
        <v>249550</v>
      </c>
      <c r="E10" s="38">
        <v>77217</v>
      </c>
      <c r="F10" s="38">
        <v>14350</v>
      </c>
      <c r="G10" s="21">
        <f t="shared" si="0"/>
        <v>341117</v>
      </c>
      <c r="H10" s="23">
        <f t="shared" si="1"/>
        <v>1550</v>
      </c>
      <c r="I10" s="22" t="s">
        <v>222</v>
      </c>
    </row>
    <row r="11" spans="2:9" x14ac:dyDescent="0.3">
      <c r="B11" s="26" t="s">
        <v>223</v>
      </c>
      <c r="C11" s="26" t="s">
        <v>221</v>
      </c>
      <c r="D11" s="38">
        <v>257278</v>
      </c>
      <c r="E11" s="38">
        <v>79684</v>
      </c>
      <c r="F11" s="38">
        <v>14350</v>
      </c>
      <c r="G11" s="21">
        <f t="shared" si="0"/>
        <v>351312</v>
      </c>
      <c r="H11" s="23">
        <f t="shared" si="1"/>
        <v>1598</v>
      </c>
      <c r="I11" s="22" t="s">
        <v>224</v>
      </c>
    </row>
    <row r="12" spans="2:9" x14ac:dyDescent="0.3">
      <c r="B12" s="26" t="s">
        <v>225</v>
      </c>
      <c r="C12" s="26" t="s">
        <v>221</v>
      </c>
      <c r="D12" s="38">
        <v>273056</v>
      </c>
      <c r="E12" s="38">
        <v>84468</v>
      </c>
      <c r="F12" s="38">
        <v>14350</v>
      </c>
      <c r="G12" s="21">
        <f t="shared" si="0"/>
        <v>371874</v>
      </c>
      <c r="H12" s="23">
        <f t="shared" si="1"/>
        <v>1696</v>
      </c>
      <c r="I12" s="22" t="s">
        <v>226</v>
      </c>
    </row>
    <row r="13" spans="2:9" x14ac:dyDescent="0.3">
      <c r="B13" s="26" t="s">
        <v>227</v>
      </c>
      <c r="C13" s="26" t="s">
        <v>228</v>
      </c>
      <c r="D13" s="38">
        <v>350336</v>
      </c>
      <c r="E13" s="38">
        <v>133055</v>
      </c>
      <c r="F13" s="38">
        <v>14350</v>
      </c>
      <c r="G13" s="21">
        <f t="shared" si="0"/>
        <v>497741</v>
      </c>
      <c r="H13" s="23">
        <f t="shared" si="1"/>
        <v>2176</v>
      </c>
      <c r="I13" s="22" t="s">
        <v>229</v>
      </c>
    </row>
    <row r="14" spans="2:9" x14ac:dyDescent="0.3">
      <c r="B14" s="26" t="s">
        <v>230</v>
      </c>
      <c r="C14" s="26" t="s">
        <v>228</v>
      </c>
      <c r="D14" s="38">
        <v>350336</v>
      </c>
      <c r="E14" s="38">
        <v>133055</v>
      </c>
      <c r="F14" s="38">
        <v>14350</v>
      </c>
      <c r="G14" s="21">
        <f t="shared" si="0"/>
        <v>497741</v>
      </c>
      <c r="H14" s="23">
        <f t="shared" si="1"/>
        <v>2176</v>
      </c>
      <c r="I14" s="22" t="s">
        <v>231</v>
      </c>
    </row>
    <row r="15" spans="2:9" x14ac:dyDescent="0.3">
      <c r="B15" s="26" t="s">
        <v>232</v>
      </c>
      <c r="C15" s="26" t="s">
        <v>228</v>
      </c>
      <c r="D15" s="38">
        <v>360801</v>
      </c>
      <c r="E15" s="38">
        <v>137166</v>
      </c>
      <c r="F15" s="38">
        <v>14350</v>
      </c>
      <c r="G15" s="21">
        <f t="shared" si="0"/>
        <v>512317</v>
      </c>
      <c r="H15" s="23">
        <f t="shared" si="1"/>
        <v>2241</v>
      </c>
      <c r="I15" s="22" t="s">
        <v>233</v>
      </c>
    </row>
    <row r="16" spans="2:9" x14ac:dyDescent="0.3">
      <c r="B16" s="26" t="s">
        <v>234</v>
      </c>
      <c r="C16" s="26" t="s">
        <v>235</v>
      </c>
      <c r="D16" s="38">
        <v>360157</v>
      </c>
      <c r="E16" s="38">
        <v>167216</v>
      </c>
      <c r="F16" s="38">
        <v>14350</v>
      </c>
      <c r="G16" s="21">
        <f t="shared" si="0"/>
        <v>541723</v>
      </c>
      <c r="H16" s="23">
        <f t="shared" si="1"/>
        <v>2237</v>
      </c>
      <c r="I16" s="22" t="s">
        <v>236</v>
      </c>
    </row>
    <row r="17" spans="2:9" x14ac:dyDescent="0.3">
      <c r="B17" s="26" t="s">
        <v>237</v>
      </c>
      <c r="C17" s="26" t="s">
        <v>235</v>
      </c>
      <c r="D17" s="38">
        <v>360157</v>
      </c>
      <c r="E17" s="38">
        <v>167216</v>
      </c>
      <c r="F17" s="38">
        <v>14350</v>
      </c>
      <c r="G17" s="21">
        <f t="shared" si="0"/>
        <v>541723</v>
      </c>
      <c r="H17" s="23">
        <f t="shared" si="1"/>
        <v>2237</v>
      </c>
      <c r="I17" s="22" t="s">
        <v>238</v>
      </c>
    </row>
    <row r="18" spans="2:9" x14ac:dyDescent="0.3">
      <c r="B18" s="26" t="s">
        <v>239</v>
      </c>
      <c r="C18" s="26" t="s">
        <v>235</v>
      </c>
      <c r="D18" s="38">
        <v>371105</v>
      </c>
      <c r="E18" s="38">
        <v>172224</v>
      </c>
      <c r="F18" s="38">
        <v>14350</v>
      </c>
      <c r="G18" s="21">
        <f t="shared" si="0"/>
        <v>557679</v>
      </c>
      <c r="H18" s="23">
        <f t="shared" si="1"/>
        <v>2305</v>
      </c>
      <c r="I18" s="22" t="s">
        <v>240</v>
      </c>
    </row>
    <row r="19" spans="2:9" x14ac:dyDescent="0.3">
      <c r="B19" s="39" t="s">
        <v>241</v>
      </c>
      <c r="C19" s="36"/>
      <c r="D19" s="40">
        <f>SUM(D7:D18)</f>
        <v>3494022</v>
      </c>
      <c r="E19" s="40">
        <f>SUM(E7:E18)</f>
        <v>1291606</v>
      </c>
      <c r="F19" s="40">
        <f>SUM(F7:F18)</f>
        <v>172200</v>
      </c>
      <c r="G19" s="40">
        <f>SUM(G7:G18)</f>
        <v>4957828</v>
      </c>
      <c r="H19" s="40">
        <f>SUM(H7:H18)</f>
        <v>21702</v>
      </c>
      <c r="I19" s="34" t="s">
        <v>242</v>
      </c>
    </row>
    <row r="21" spans="2:9" x14ac:dyDescent="0.3">
      <c r="B21" s="11" t="s">
        <v>243</v>
      </c>
      <c r="C21" s="11"/>
      <c r="D21" s="11"/>
      <c r="E21" s="11"/>
      <c r="F21" s="11"/>
      <c r="G21" s="11"/>
      <c r="H21" s="11"/>
      <c r="I21" s="11"/>
    </row>
    <row r="22" spans="2:9" x14ac:dyDescent="0.3">
      <c r="B22" s="20" t="s">
        <v>244</v>
      </c>
      <c r="C22" s="20"/>
      <c r="D22" s="20" t="s">
        <v>209</v>
      </c>
      <c r="E22" s="20" t="s">
        <v>245</v>
      </c>
      <c r="F22" s="20" t="s">
        <v>246</v>
      </c>
      <c r="G22" s="20" t="s">
        <v>137</v>
      </c>
      <c r="H22" s="20" t="s">
        <v>212</v>
      </c>
      <c r="I22" s="20" t="s">
        <v>247</v>
      </c>
    </row>
    <row r="23" spans="2:9" x14ac:dyDescent="0.3">
      <c r="B23" s="41" t="s">
        <v>214</v>
      </c>
      <c r="C23" s="16"/>
      <c r="D23" s="23">
        <f t="shared" ref="D23:H26" si="2">SUMIFS(D$7:D$18,$C$7:$C$18,$B23)</f>
        <v>561246</v>
      </c>
      <c r="E23" s="23">
        <f t="shared" si="2"/>
        <v>140305</v>
      </c>
      <c r="F23" s="23">
        <f t="shared" si="2"/>
        <v>43050</v>
      </c>
      <c r="G23" s="23">
        <f t="shared" si="2"/>
        <v>744601</v>
      </c>
      <c r="H23" s="23">
        <f t="shared" si="2"/>
        <v>3486</v>
      </c>
      <c r="I23" s="22" t="s">
        <v>248</v>
      </c>
    </row>
    <row r="24" spans="2:9" x14ac:dyDescent="0.3">
      <c r="B24" s="41" t="s">
        <v>221</v>
      </c>
      <c r="C24" s="16"/>
      <c r="D24" s="23">
        <f t="shared" si="2"/>
        <v>779884</v>
      </c>
      <c r="E24" s="23">
        <f t="shared" si="2"/>
        <v>241369</v>
      </c>
      <c r="F24" s="23">
        <f t="shared" si="2"/>
        <v>43050</v>
      </c>
      <c r="G24" s="23">
        <f t="shared" si="2"/>
        <v>1064303</v>
      </c>
      <c r="H24" s="23">
        <f t="shared" si="2"/>
        <v>4844</v>
      </c>
      <c r="I24" s="22" t="s">
        <v>249</v>
      </c>
    </row>
    <row r="25" spans="2:9" x14ac:dyDescent="0.3">
      <c r="B25" s="41" t="s">
        <v>228</v>
      </c>
      <c r="C25" s="16"/>
      <c r="D25" s="23">
        <f t="shared" si="2"/>
        <v>1061473</v>
      </c>
      <c r="E25" s="23">
        <f t="shared" si="2"/>
        <v>403276</v>
      </c>
      <c r="F25" s="23">
        <f t="shared" si="2"/>
        <v>43050</v>
      </c>
      <c r="G25" s="23">
        <f t="shared" si="2"/>
        <v>1507799</v>
      </c>
      <c r="H25" s="23">
        <f t="shared" si="2"/>
        <v>6593</v>
      </c>
      <c r="I25" s="22" t="s">
        <v>250</v>
      </c>
    </row>
    <row r="26" spans="2:9" x14ac:dyDescent="0.3">
      <c r="B26" s="41" t="s">
        <v>235</v>
      </c>
      <c r="C26" s="16"/>
      <c r="D26" s="23">
        <f t="shared" si="2"/>
        <v>1091419</v>
      </c>
      <c r="E26" s="23">
        <f t="shared" si="2"/>
        <v>506656</v>
      </c>
      <c r="F26" s="23">
        <f t="shared" si="2"/>
        <v>43050</v>
      </c>
      <c r="G26" s="23">
        <f t="shared" si="2"/>
        <v>1641125</v>
      </c>
      <c r="H26" s="23">
        <f t="shared" si="2"/>
        <v>6779</v>
      </c>
      <c r="I26" s="22" t="s">
        <v>251</v>
      </c>
    </row>
    <row r="28" spans="2:9" x14ac:dyDescent="0.3">
      <c r="B28" s="11" t="s">
        <v>252</v>
      </c>
      <c r="C28" s="11"/>
      <c r="D28" s="11"/>
      <c r="E28" s="11"/>
      <c r="F28" s="11"/>
      <c r="G28" s="11"/>
      <c r="H28" s="11"/>
      <c r="I28" s="11"/>
    </row>
    <row r="29" spans="2:9" x14ac:dyDescent="0.3">
      <c r="B29" s="20" t="s">
        <v>253</v>
      </c>
      <c r="C29" s="20"/>
      <c r="D29" s="20" t="s">
        <v>254</v>
      </c>
      <c r="E29" s="20"/>
      <c r="F29" s="20"/>
      <c r="G29" s="20"/>
      <c r="H29" s="20"/>
      <c r="I29" s="20"/>
    </row>
    <row r="30" spans="2:9" x14ac:dyDescent="0.3">
      <c r="B30" s="8" t="s">
        <v>255</v>
      </c>
      <c r="C30" s="8"/>
      <c r="D30" s="38">
        <v>22000</v>
      </c>
    </row>
    <row r="31" spans="2:9" x14ac:dyDescent="0.3">
      <c r="B31" s="8" t="s">
        <v>256</v>
      </c>
      <c r="C31" s="8"/>
      <c r="D31" s="38">
        <v>12000</v>
      </c>
    </row>
    <row r="32" spans="2:9" x14ac:dyDescent="0.3">
      <c r="B32" s="8" t="s">
        <v>257</v>
      </c>
      <c r="C32" s="8"/>
      <c r="D32" s="38">
        <v>3000</v>
      </c>
    </row>
    <row r="33" spans="2:9" x14ac:dyDescent="0.3">
      <c r="B33" s="8" t="s">
        <v>258</v>
      </c>
      <c r="C33" s="8"/>
      <c r="D33" s="38">
        <v>15000</v>
      </c>
    </row>
    <row r="34" spans="2:9" x14ac:dyDescent="0.3">
      <c r="B34" s="8" t="s">
        <v>259</v>
      </c>
      <c r="C34" s="8"/>
      <c r="D34" s="38">
        <v>3000</v>
      </c>
    </row>
    <row r="35" spans="2:9" x14ac:dyDescent="0.3">
      <c r="B35" s="8" t="s">
        <v>260</v>
      </c>
      <c r="C35" s="8"/>
      <c r="D35" s="38">
        <v>10000</v>
      </c>
    </row>
    <row r="36" spans="2:9" x14ac:dyDescent="0.3">
      <c r="B36" s="8" t="s">
        <v>261</v>
      </c>
      <c r="C36" s="8"/>
      <c r="D36" s="38">
        <v>150000</v>
      </c>
    </row>
    <row r="37" spans="2:9" x14ac:dyDescent="0.3">
      <c r="B37" s="8" t="s">
        <v>262</v>
      </c>
      <c r="C37" s="8"/>
      <c r="D37" s="38">
        <v>70000</v>
      </c>
    </row>
    <row r="38" spans="2:9" x14ac:dyDescent="0.3">
      <c r="B38" s="8" t="s">
        <v>263</v>
      </c>
      <c r="C38" s="8"/>
      <c r="D38" s="38">
        <v>30000</v>
      </c>
    </row>
    <row r="39" spans="2:9" x14ac:dyDescent="0.3">
      <c r="B39" s="8" t="s">
        <v>264</v>
      </c>
      <c r="C39" s="8"/>
      <c r="D39" s="38">
        <v>15000</v>
      </c>
    </row>
    <row r="40" spans="2:9" x14ac:dyDescent="0.3">
      <c r="B40" s="8" t="s">
        <v>265</v>
      </c>
      <c r="C40" s="8"/>
      <c r="D40" s="38">
        <v>30000</v>
      </c>
    </row>
    <row r="41" spans="2:9" x14ac:dyDescent="0.3">
      <c r="B41" s="5" t="s">
        <v>266</v>
      </c>
      <c r="C41" s="5"/>
      <c r="D41" s="40">
        <f>SUM(D30:D40)</f>
        <v>360000</v>
      </c>
    </row>
    <row r="43" spans="2:9" x14ac:dyDescent="0.3">
      <c r="B43" s="11" t="s">
        <v>267</v>
      </c>
      <c r="C43" s="11"/>
      <c r="D43" s="11"/>
      <c r="E43" s="11"/>
      <c r="F43" s="11"/>
      <c r="G43" s="11"/>
      <c r="H43" s="11"/>
      <c r="I43" s="11"/>
    </row>
    <row r="44" spans="2:9" ht="26.4" x14ac:dyDescent="0.3">
      <c r="B44" s="20" t="s">
        <v>268</v>
      </c>
      <c r="C44" s="20"/>
      <c r="D44" s="20" t="s">
        <v>269</v>
      </c>
      <c r="E44" s="20" t="s">
        <v>270</v>
      </c>
      <c r="F44" s="20"/>
      <c r="G44" s="20" t="s">
        <v>271</v>
      </c>
      <c r="H44" s="20"/>
      <c r="I44" s="20"/>
    </row>
    <row r="45" spans="2:9" x14ac:dyDescent="0.3">
      <c r="B45" s="8" t="s">
        <v>272</v>
      </c>
      <c r="C45" s="8"/>
      <c r="D45" s="42">
        <v>0.7</v>
      </c>
      <c r="E45" s="4">
        <f>ROUND((G$19)*D45,0)+D$41</f>
        <v>3830480</v>
      </c>
      <c r="F45" s="4"/>
      <c r="G45" s="3" t="s">
        <v>273</v>
      </c>
      <c r="H45" s="3"/>
      <c r="I45" s="3"/>
    </row>
    <row r="46" spans="2:9" x14ac:dyDescent="0.3">
      <c r="B46" s="2" t="s">
        <v>274</v>
      </c>
      <c r="C46" s="2"/>
      <c r="D46" s="42">
        <v>1</v>
      </c>
      <c r="E46" s="1">
        <f>ROUND((G$19)*D46,0)+D$41</f>
        <v>5317828</v>
      </c>
      <c r="F46" s="1"/>
      <c r="G46" s="3" t="s">
        <v>275</v>
      </c>
      <c r="H46" s="3"/>
      <c r="I46" s="3"/>
    </row>
    <row r="47" spans="2:9" x14ac:dyDescent="0.3">
      <c r="B47" s="8" t="s">
        <v>276</v>
      </c>
      <c r="C47" s="8"/>
      <c r="D47" s="42">
        <v>1.3</v>
      </c>
      <c r="E47" s="4">
        <f>ROUND((G$19)*D47,0)+D$41</f>
        <v>6805176</v>
      </c>
      <c r="F47" s="4"/>
      <c r="G47" s="3" t="s">
        <v>277</v>
      </c>
      <c r="H47" s="3"/>
      <c r="I47" s="3"/>
    </row>
    <row r="49" spans="2:9" x14ac:dyDescent="0.3">
      <c r="B49" s="5" t="s">
        <v>278</v>
      </c>
      <c r="C49" s="5"/>
      <c r="D49" s="24">
        <f>G19+D41</f>
        <v>5317828</v>
      </c>
      <c r="E49" s="6" t="s">
        <v>279</v>
      </c>
      <c r="F49" s="6"/>
      <c r="G49" s="6"/>
      <c r="H49" s="6"/>
      <c r="I49" s="6"/>
    </row>
    <row r="51" spans="2:9" ht="26.4" x14ac:dyDescent="0.3">
      <c r="B51" s="18" t="s">
        <v>280</v>
      </c>
    </row>
    <row r="52" spans="2:9" x14ac:dyDescent="0.3">
      <c r="B52" s="8" t="s">
        <v>281</v>
      </c>
      <c r="C52" s="8"/>
      <c r="D52" s="43">
        <v>161</v>
      </c>
      <c r="E52" s="3" t="s">
        <v>282</v>
      </c>
      <c r="F52" s="3"/>
      <c r="G52" s="3"/>
      <c r="H52" s="3"/>
      <c r="I52" s="3"/>
    </row>
    <row r="55" spans="2:9" x14ac:dyDescent="0.3">
      <c r="B55" s="11" t="s">
        <v>283</v>
      </c>
      <c r="C55" s="11"/>
      <c r="D55" s="11"/>
      <c r="E55" s="11"/>
      <c r="F55" s="11"/>
      <c r="G55" s="11"/>
      <c r="H55" s="11"/>
      <c r="I55" s="11"/>
    </row>
    <row r="56" spans="2:9" ht="26.4" x14ac:dyDescent="0.3">
      <c r="B56" s="20" t="s">
        <v>284</v>
      </c>
      <c r="C56" s="20"/>
      <c r="D56" s="20" t="s">
        <v>44</v>
      </c>
      <c r="E56" s="20"/>
      <c r="F56" s="20" t="s">
        <v>285</v>
      </c>
      <c r="G56" s="20"/>
      <c r="H56" s="20"/>
      <c r="I56" s="20"/>
    </row>
    <row r="57" spans="2:9" x14ac:dyDescent="0.3">
      <c r="B57" s="2" t="s">
        <v>286</v>
      </c>
      <c r="C57" s="2"/>
      <c r="D57" s="24">
        <f>'09_Commercial Model'!G23</f>
        <v>12056937</v>
      </c>
      <c r="E57" s="16"/>
      <c r="F57" s="3" t="s">
        <v>287</v>
      </c>
      <c r="G57" s="3"/>
      <c r="H57" s="3"/>
      <c r="I57" s="3"/>
    </row>
    <row r="58" spans="2:9" x14ac:dyDescent="0.3">
      <c r="B58" s="2" t="s">
        <v>288</v>
      </c>
      <c r="C58" s="2"/>
      <c r="D58" s="44">
        <f>'09_Commercial Model'!G23/D19</f>
        <v>3.4507329948122822</v>
      </c>
      <c r="E58" s="16"/>
      <c r="F58" s="3" t="s">
        <v>289</v>
      </c>
      <c r="G58" s="3"/>
      <c r="H58" s="3"/>
      <c r="I58" s="3"/>
    </row>
    <row r="59" spans="2:9" x14ac:dyDescent="0.3">
      <c r="B59" s="2" t="s">
        <v>290</v>
      </c>
      <c r="C59" s="2"/>
      <c r="D59" s="44">
        <f>'09_Commercial Model'!G23/D49</f>
        <v>2.2672672000673959</v>
      </c>
      <c r="E59" s="16"/>
      <c r="F59" s="3" t="s">
        <v>291</v>
      </c>
      <c r="G59" s="3"/>
      <c r="H59" s="3"/>
      <c r="I59" s="3"/>
    </row>
    <row r="60" spans="2:9" x14ac:dyDescent="0.3">
      <c r="B60" s="7" t="s">
        <v>292</v>
      </c>
      <c r="C60" s="7"/>
      <c r="D60" s="7"/>
      <c r="E60" s="7"/>
      <c r="F60" s="7"/>
      <c r="G60" s="7"/>
      <c r="H60" s="7"/>
      <c r="I60" s="7"/>
    </row>
  </sheetData>
  <mergeCells count="37">
    <mergeCell ref="B58:C58"/>
    <mergeCell ref="F58:I58"/>
    <mergeCell ref="B59:C59"/>
    <mergeCell ref="F59:I59"/>
    <mergeCell ref="B60:I60"/>
    <mergeCell ref="B52:C52"/>
    <mergeCell ref="E52:I52"/>
    <mergeCell ref="B55:I55"/>
    <mergeCell ref="B57:C57"/>
    <mergeCell ref="F57:I57"/>
    <mergeCell ref="B47:C47"/>
    <mergeCell ref="E47:F47"/>
    <mergeCell ref="G47:I47"/>
    <mergeCell ref="B49:C49"/>
    <mergeCell ref="E49:I49"/>
    <mergeCell ref="B43:I43"/>
    <mergeCell ref="B45:C45"/>
    <mergeCell ref="E45:F45"/>
    <mergeCell ref="G45:I45"/>
    <mergeCell ref="B46:C46"/>
    <mergeCell ref="E46:F46"/>
    <mergeCell ref="G46:I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5:I5"/>
    <mergeCell ref="B21:I21"/>
    <mergeCell ref="B28:I28"/>
    <mergeCell ref="B30:C30"/>
    <mergeCell ref="B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0"/>
  <sheetViews>
    <sheetView showGridLines="0" topLeftCell="A12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11" customWidth="1"/>
    <col min="4" max="7" width="8" customWidth="1"/>
    <col min="8" max="8" width="40" customWidth="1"/>
    <col min="9" max="9" width="30" customWidth="1"/>
    <col min="10" max="10" width="8" customWidth="1"/>
  </cols>
  <sheetData>
    <row r="2" spans="2:10" ht="19.5" customHeight="1" x14ac:dyDescent="0.4">
      <c r="B2" s="19" t="s">
        <v>293</v>
      </c>
    </row>
    <row r="3" spans="2:10" ht="15" customHeight="1" x14ac:dyDescent="0.3">
      <c r="B3" s="14" t="s">
        <v>294</v>
      </c>
    </row>
    <row r="5" spans="2:10" ht="15" customHeight="1" x14ac:dyDescent="0.3">
      <c r="B5" s="20" t="s">
        <v>295</v>
      </c>
      <c r="C5" s="20" t="s">
        <v>296</v>
      </c>
      <c r="D5" s="20" t="s">
        <v>214</v>
      </c>
      <c r="E5" s="20" t="s">
        <v>221</v>
      </c>
      <c r="F5" s="20" t="s">
        <v>228</v>
      </c>
      <c r="G5" s="20" t="s">
        <v>235</v>
      </c>
      <c r="H5" s="20" t="s">
        <v>297</v>
      </c>
      <c r="I5" s="20" t="s">
        <v>298</v>
      </c>
      <c r="J5" s="20" t="s">
        <v>299</v>
      </c>
    </row>
    <row r="6" spans="2:10" ht="30" customHeight="1" x14ac:dyDescent="0.3">
      <c r="B6" s="18" t="s">
        <v>300</v>
      </c>
      <c r="C6" s="39" t="s">
        <v>301</v>
      </c>
      <c r="D6" s="45"/>
      <c r="E6" s="45"/>
      <c r="F6" s="45"/>
      <c r="G6" s="45"/>
      <c r="H6" s="22" t="s">
        <v>302</v>
      </c>
      <c r="I6" s="46" t="s">
        <v>303</v>
      </c>
      <c r="J6" s="37" t="s">
        <v>304</v>
      </c>
    </row>
    <row r="7" spans="2:10" ht="30" customHeight="1" x14ac:dyDescent="0.3">
      <c r="B7" s="18" t="s">
        <v>305</v>
      </c>
      <c r="C7" s="39" t="s">
        <v>301</v>
      </c>
      <c r="D7" s="45"/>
      <c r="E7" s="45"/>
      <c r="F7" s="45"/>
      <c r="G7" s="45"/>
      <c r="H7" s="22" t="s">
        <v>306</v>
      </c>
      <c r="I7" s="46" t="s">
        <v>307</v>
      </c>
      <c r="J7" s="33" t="s">
        <v>308</v>
      </c>
    </row>
    <row r="8" spans="2:10" ht="30" customHeight="1" x14ac:dyDescent="0.3">
      <c r="B8" s="18" t="s">
        <v>309</v>
      </c>
      <c r="C8" s="47" t="s">
        <v>310</v>
      </c>
      <c r="D8" s="45"/>
      <c r="E8" s="45"/>
      <c r="F8" s="45"/>
      <c r="G8" s="45"/>
      <c r="H8" s="22" t="s">
        <v>311</v>
      </c>
      <c r="I8" s="46" t="s">
        <v>312</v>
      </c>
      <c r="J8" s="33" t="s">
        <v>308</v>
      </c>
    </row>
    <row r="9" spans="2:10" ht="30" customHeight="1" x14ac:dyDescent="0.3">
      <c r="B9" s="18" t="s">
        <v>313</v>
      </c>
      <c r="C9" s="48" t="s">
        <v>314</v>
      </c>
      <c r="D9" s="45"/>
      <c r="E9" s="45"/>
      <c r="F9" s="45"/>
      <c r="G9" s="45"/>
      <c r="H9" s="22" t="s">
        <v>315</v>
      </c>
      <c r="I9" s="46" t="s">
        <v>316</v>
      </c>
      <c r="J9" s="37" t="s">
        <v>304</v>
      </c>
    </row>
    <row r="10" spans="2:10" ht="30" customHeight="1" x14ac:dyDescent="0.3">
      <c r="B10" s="18" t="s">
        <v>317</v>
      </c>
      <c r="C10" s="49" t="s">
        <v>318</v>
      </c>
      <c r="D10" s="45"/>
      <c r="E10" s="45"/>
      <c r="F10" s="45"/>
      <c r="G10" s="45"/>
      <c r="H10" s="22" t="s">
        <v>319</v>
      </c>
      <c r="I10" s="46" t="s">
        <v>320</v>
      </c>
      <c r="J10" s="37" t="s">
        <v>304</v>
      </c>
    </row>
    <row r="11" spans="2:10" ht="30" customHeight="1" x14ac:dyDescent="0.3">
      <c r="B11" s="18" t="s">
        <v>321</v>
      </c>
      <c r="C11" s="49" t="s">
        <v>318</v>
      </c>
      <c r="D11" s="45"/>
      <c r="E11" s="45"/>
      <c r="F11" s="45"/>
      <c r="G11" s="45"/>
      <c r="H11" s="22" t="s">
        <v>322</v>
      </c>
      <c r="I11" s="46" t="s">
        <v>323</v>
      </c>
      <c r="J11" s="37" t="s">
        <v>304</v>
      </c>
    </row>
    <row r="12" spans="2:10" ht="30" customHeight="1" x14ac:dyDescent="0.3">
      <c r="B12" s="18" t="s">
        <v>324</v>
      </c>
      <c r="C12" s="49" t="s">
        <v>318</v>
      </c>
      <c r="D12" s="50"/>
      <c r="E12" s="45"/>
      <c r="F12" s="45"/>
      <c r="G12" s="45"/>
      <c r="H12" s="22" t="s">
        <v>325</v>
      </c>
      <c r="I12" s="46" t="s">
        <v>326</v>
      </c>
      <c r="J12" s="33" t="s">
        <v>308</v>
      </c>
    </row>
    <row r="13" spans="2:10" ht="30" customHeight="1" x14ac:dyDescent="0.3">
      <c r="B13" s="18" t="s">
        <v>327</v>
      </c>
      <c r="C13" s="47" t="s">
        <v>310</v>
      </c>
      <c r="D13" s="45"/>
      <c r="E13" s="45"/>
      <c r="F13" s="45"/>
      <c r="G13" s="45"/>
      <c r="H13" s="22" t="s">
        <v>328</v>
      </c>
      <c r="I13" s="46" t="s">
        <v>329</v>
      </c>
      <c r="J13" s="33" t="s">
        <v>308</v>
      </c>
    </row>
    <row r="14" spans="2:10" ht="30" customHeight="1" x14ac:dyDescent="0.3">
      <c r="B14" s="18" t="s">
        <v>330</v>
      </c>
      <c r="C14" s="39" t="s">
        <v>301</v>
      </c>
      <c r="D14" s="50"/>
      <c r="E14" s="45"/>
      <c r="F14" s="45"/>
      <c r="G14" s="45"/>
      <c r="H14" s="22" t="s">
        <v>331</v>
      </c>
      <c r="I14" s="46" t="s">
        <v>332</v>
      </c>
      <c r="J14" s="51" t="s">
        <v>333</v>
      </c>
    </row>
    <row r="15" spans="2:10" ht="30" customHeight="1" x14ac:dyDescent="0.3">
      <c r="B15" s="18" t="s">
        <v>334</v>
      </c>
      <c r="C15" s="39" t="s">
        <v>301</v>
      </c>
      <c r="D15" s="50"/>
      <c r="E15" s="45"/>
      <c r="F15" s="45"/>
      <c r="G15" s="50"/>
      <c r="H15" s="22" t="s">
        <v>335</v>
      </c>
      <c r="I15" s="46" t="s">
        <v>336</v>
      </c>
      <c r="J15" s="33" t="s">
        <v>308</v>
      </c>
    </row>
    <row r="16" spans="2:10" ht="30" customHeight="1" x14ac:dyDescent="0.3">
      <c r="B16" s="18" t="s">
        <v>337</v>
      </c>
      <c r="C16" s="49" t="s">
        <v>318</v>
      </c>
      <c r="D16" s="50"/>
      <c r="E16" s="45"/>
      <c r="F16" s="45"/>
      <c r="G16" s="45"/>
      <c r="H16" s="22" t="s">
        <v>338</v>
      </c>
      <c r="I16" s="46" t="s">
        <v>339</v>
      </c>
      <c r="J16" s="51" t="s">
        <v>333</v>
      </c>
    </row>
    <row r="17" spans="2:10" ht="30" customHeight="1" x14ac:dyDescent="0.3">
      <c r="B17" s="18" t="s">
        <v>340</v>
      </c>
      <c r="C17" s="39" t="s">
        <v>301</v>
      </c>
      <c r="D17" s="45"/>
      <c r="E17" s="45"/>
      <c r="F17" s="45"/>
      <c r="G17" s="45"/>
      <c r="H17" s="22" t="s">
        <v>341</v>
      </c>
      <c r="I17" s="46" t="s">
        <v>342</v>
      </c>
      <c r="J17" s="33" t="s">
        <v>308</v>
      </c>
    </row>
    <row r="18" spans="2:10" ht="30" customHeight="1" x14ac:dyDescent="0.3">
      <c r="B18" s="18" t="s">
        <v>343</v>
      </c>
      <c r="C18" s="47" t="s">
        <v>310</v>
      </c>
      <c r="D18" s="50"/>
      <c r="E18" s="45"/>
      <c r="F18" s="50"/>
      <c r="G18" s="50"/>
      <c r="H18" s="22" t="s">
        <v>344</v>
      </c>
      <c r="I18" s="46" t="s">
        <v>345</v>
      </c>
      <c r="J18" s="51" t="s">
        <v>333</v>
      </c>
    </row>
    <row r="19" spans="2:10" ht="30" customHeight="1" x14ac:dyDescent="0.3">
      <c r="B19" s="18" t="s">
        <v>346</v>
      </c>
      <c r="C19" s="39" t="s">
        <v>301</v>
      </c>
      <c r="D19" s="50"/>
      <c r="E19" s="50"/>
      <c r="F19" s="45"/>
      <c r="G19" s="45"/>
      <c r="H19" s="22" t="s">
        <v>347</v>
      </c>
      <c r="I19" s="46" t="s">
        <v>348</v>
      </c>
      <c r="J19" s="33" t="s">
        <v>308</v>
      </c>
    </row>
    <row r="20" spans="2:10" ht="23.25" customHeight="1" x14ac:dyDescent="0.3">
      <c r="B20" s="18" t="s">
        <v>236</v>
      </c>
      <c r="C20" s="39" t="s">
        <v>301</v>
      </c>
      <c r="D20" s="50"/>
      <c r="E20" s="50"/>
      <c r="F20" s="50"/>
      <c r="G20" s="45"/>
      <c r="H20" s="22" t="s">
        <v>349</v>
      </c>
      <c r="I20" s="46" t="s">
        <v>350</v>
      </c>
      <c r="J20" s="33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0"/>
  <sheetViews>
    <sheetView showGridLines="0" topLeftCell="A9" zoomScaleNormal="100" workbookViewId="0">
      <selection activeCell="C18" sqref="C18"/>
    </sheetView>
  </sheetViews>
  <sheetFormatPr defaultColWidth="8.6640625" defaultRowHeight="14.4" x14ac:dyDescent="0.3"/>
  <cols>
    <col min="1" max="1" width="3" customWidth="1"/>
    <col min="2" max="2" width="30" customWidth="1"/>
    <col min="3" max="3" width="28" customWidth="1"/>
    <col min="4" max="4" width="13" customWidth="1"/>
    <col min="5" max="5" width="36" customWidth="1"/>
    <col min="6" max="6" width="40" customWidth="1"/>
  </cols>
  <sheetData>
    <row r="2" spans="2:6" ht="19.5" customHeight="1" x14ac:dyDescent="0.4">
      <c r="B2" s="19" t="s">
        <v>351</v>
      </c>
    </row>
    <row r="3" spans="2:6" ht="15" customHeight="1" x14ac:dyDescent="0.3">
      <c r="B3" s="14" t="s">
        <v>352</v>
      </c>
    </row>
    <row r="5" spans="2:6" ht="15" customHeight="1" x14ac:dyDescent="0.3">
      <c r="B5" s="20" t="s">
        <v>353</v>
      </c>
      <c r="C5" s="20" t="s">
        <v>354</v>
      </c>
      <c r="D5" s="20" t="s">
        <v>355</v>
      </c>
      <c r="E5" s="20" t="s">
        <v>356</v>
      </c>
      <c r="F5" s="20" t="s">
        <v>357</v>
      </c>
    </row>
    <row r="6" spans="2:6" ht="43.5" customHeight="1" x14ac:dyDescent="0.3">
      <c r="B6" s="18" t="s">
        <v>358</v>
      </c>
      <c r="C6" s="16" t="s">
        <v>359</v>
      </c>
      <c r="D6" s="26" t="s">
        <v>360</v>
      </c>
      <c r="E6" s="16" t="s">
        <v>361</v>
      </c>
      <c r="F6" s="46" t="s">
        <v>362</v>
      </c>
    </row>
    <row r="7" spans="2:6" ht="43.5" customHeight="1" x14ac:dyDescent="0.3">
      <c r="B7" s="18" t="s">
        <v>321</v>
      </c>
      <c r="C7" s="16" t="s">
        <v>363</v>
      </c>
      <c r="D7" s="26" t="s">
        <v>360</v>
      </c>
      <c r="E7" s="16" t="s">
        <v>364</v>
      </c>
      <c r="F7" s="46" t="s">
        <v>365</v>
      </c>
    </row>
    <row r="8" spans="2:6" ht="43.5" customHeight="1" x14ac:dyDescent="0.3">
      <c r="B8" s="18" t="s">
        <v>366</v>
      </c>
      <c r="C8" s="16" t="s">
        <v>367</v>
      </c>
      <c r="D8" s="26" t="s">
        <v>368</v>
      </c>
      <c r="E8" s="16" t="s">
        <v>369</v>
      </c>
      <c r="F8" s="46" t="s">
        <v>370</v>
      </c>
    </row>
    <row r="9" spans="2:6" ht="43.5" customHeight="1" x14ac:dyDescent="0.3">
      <c r="B9" s="18" t="s">
        <v>371</v>
      </c>
      <c r="C9" s="16" t="s">
        <v>372</v>
      </c>
      <c r="D9" s="26" t="s">
        <v>373</v>
      </c>
      <c r="E9" s="16" t="s">
        <v>374</v>
      </c>
      <c r="F9" s="46" t="s">
        <v>375</v>
      </c>
    </row>
    <row r="10" spans="2:6" ht="43.5" customHeight="1" x14ac:dyDescent="0.3">
      <c r="B10" s="18" t="s">
        <v>376</v>
      </c>
      <c r="C10" s="16" t="s">
        <v>377</v>
      </c>
      <c r="D10" s="26" t="s">
        <v>378</v>
      </c>
      <c r="E10" s="16" t="s">
        <v>379</v>
      </c>
      <c r="F10" s="46" t="s">
        <v>380</v>
      </c>
    </row>
    <row r="11" spans="2:6" ht="43.5" customHeight="1" x14ac:dyDescent="0.3">
      <c r="B11" s="18" t="s">
        <v>381</v>
      </c>
      <c r="C11" s="16" t="s">
        <v>382</v>
      </c>
      <c r="D11" s="26" t="s">
        <v>383</v>
      </c>
      <c r="E11" s="16" t="s">
        <v>384</v>
      </c>
      <c r="F11" s="46" t="s">
        <v>385</v>
      </c>
    </row>
    <row r="13" spans="2:6" ht="30" customHeight="1" x14ac:dyDescent="0.3">
      <c r="B13" s="6" t="s">
        <v>386</v>
      </c>
      <c r="C13" s="6"/>
      <c r="D13" s="6"/>
      <c r="E13" s="6"/>
      <c r="F13" s="6"/>
    </row>
    <row r="15" spans="2:6" ht="19.5" customHeight="1" x14ac:dyDescent="0.3">
      <c r="B15" s="11" t="s">
        <v>387</v>
      </c>
      <c r="C15" s="11"/>
      <c r="D15" s="11"/>
      <c r="E15" s="11"/>
      <c r="F15" s="11"/>
    </row>
    <row r="16" spans="2:6" ht="23.25" customHeight="1" x14ac:dyDescent="0.3">
      <c r="B16" s="20" t="s">
        <v>388</v>
      </c>
      <c r="C16" s="20" t="s">
        <v>389</v>
      </c>
      <c r="D16" s="20" t="s">
        <v>390</v>
      </c>
      <c r="E16" s="20" t="s">
        <v>391</v>
      </c>
      <c r="F16" s="20" t="s">
        <v>392</v>
      </c>
    </row>
    <row r="17" spans="2:6" ht="39.75" customHeight="1" x14ac:dyDescent="0.3">
      <c r="B17" s="34" t="s">
        <v>393</v>
      </c>
      <c r="C17" s="16" t="s">
        <v>394</v>
      </c>
      <c r="D17" s="16" t="s">
        <v>395</v>
      </c>
      <c r="E17" s="26" t="s">
        <v>396</v>
      </c>
      <c r="F17" s="22" t="s">
        <v>397</v>
      </c>
    </row>
    <row r="18" spans="2:6" ht="39.75" customHeight="1" x14ac:dyDescent="0.3">
      <c r="B18" s="52" t="s">
        <v>398</v>
      </c>
      <c r="C18" s="16" t="s">
        <v>399</v>
      </c>
      <c r="D18" s="16" t="s">
        <v>400</v>
      </c>
      <c r="E18" s="26" t="s">
        <v>401</v>
      </c>
      <c r="F18" s="22" t="s">
        <v>402</v>
      </c>
    </row>
    <row r="19" spans="2:6" ht="39.75" customHeight="1" x14ac:dyDescent="0.3">
      <c r="B19" s="53" t="s">
        <v>403</v>
      </c>
      <c r="C19" s="16" t="s">
        <v>404</v>
      </c>
      <c r="D19" s="16" t="s">
        <v>405</v>
      </c>
      <c r="E19" s="26" t="s">
        <v>406</v>
      </c>
      <c r="F19" s="22" t="s">
        <v>407</v>
      </c>
    </row>
    <row r="20" spans="2:6" ht="31.5" customHeight="1" x14ac:dyDescent="0.3">
      <c r="B20" s="6" t="s">
        <v>408</v>
      </c>
      <c r="C20" s="6"/>
      <c r="D20" s="6"/>
      <c r="E20" s="6"/>
      <c r="F20" s="6"/>
    </row>
  </sheetData>
  <mergeCells count="3">
    <mergeCell ref="B13:F13"/>
    <mergeCell ref="B15:F15"/>
    <mergeCell ref="B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30"/>
  <sheetViews>
    <sheetView showGridLines="0" topLeftCell="A21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3" width="28" customWidth="1"/>
    <col min="4" max="4" width="12" customWidth="1"/>
    <col min="5" max="5" width="34" customWidth="1"/>
    <col min="6" max="6" width="32" customWidth="1"/>
  </cols>
  <sheetData>
    <row r="2" spans="2:6" ht="19.5" customHeight="1" x14ac:dyDescent="0.4">
      <c r="B2" s="19" t="s">
        <v>409</v>
      </c>
    </row>
    <row r="3" spans="2:6" ht="15" customHeight="1" x14ac:dyDescent="0.3">
      <c r="B3" s="14" t="s">
        <v>410</v>
      </c>
    </row>
    <row r="5" spans="2:6" ht="19.5" customHeight="1" x14ac:dyDescent="0.3">
      <c r="B5" s="11" t="s">
        <v>411</v>
      </c>
      <c r="C5" s="11"/>
      <c r="D5" s="11"/>
      <c r="E5" s="11"/>
      <c r="F5" s="11"/>
    </row>
    <row r="6" spans="2:6" ht="15" customHeight="1" x14ac:dyDescent="0.3">
      <c r="B6" s="8" t="s">
        <v>412</v>
      </c>
      <c r="C6" s="8"/>
      <c r="D6" s="8"/>
      <c r="E6" s="8"/>
      <c r="F6" s="8"/>
    </row>
    <row r="7" spans="2:6" ht="15" customHeight="1" x14ac:dyDescent="0.3">
      <c r="B7" s="8" t="s">
        <v>413</v>
      </c>
      <c r="C7" s="8"/>
      <c r="D7" s="8"/>
      <c r="E7" s="8"/>
      <c r="F7" s="8"/>
    </row>
    <row r="8" spans="2:6" ht="15" customHeight="1" x14ac:dyDescent="0.3">
      <c r="B8" s="8" t="s">
        <v>414</v>
      </c>
      <c r="C8" s="8"/>
      <c r="D8" s="8"/>
      <c r="E8" s="8"/>
      <c r="F8" s="8"/>
    </row>
    <row r="9" spans="2:6" ht="15" customHeight="1" x14ac:dyDescent="0.3">
      <c r="B9" s="8" t="s">
        <v>415</v>
      </c>
      <c r="C9" s="8"/>
      <c r="D9" s="8"/>
      <c r="E9" s="8"/>
      <c r="F9" s="8"/>
    </row>
    <row r="11" spans="2:6" ht="19.5" customHeight="1" x14ac:dyDescent="0.3">
      <c r="B11" s="11" t="s">
        <v>416</v>
      </c>
      <c r="C11" s="11"/>
      <c r="D11" s="11"/>
      <c r="E11" s="11"/>
      <c r="F11" s="11"/>
    </row>
    <row r="12" spans="2:6" ht="15" customHeight="1" x14ac:dyDescent="0.3">
      <c r="B12" s="20" t="s">
        <v>417</v>
      </c>
      <c r="C12" s="20" t="s">
        <v>418</v>
      </c>
      <c r="D12" s="20" t="s">
        <v>152</v>
      </c>
      <c r="E12" s="20" t="s">
        <v>419</v>
      </c>
      <c r="F12" s="20" t="s">
        <v>420</v>
      </c>
    </row>
    <row r="13" spans="2:6" ht="30" customHeight="1" x14ac:dyDescent="0.3">
      <c r="B13" s="18" t="s">
        <v>421</v>
      </c>
      <c r="C13" s="16" t="s">
        <v>422</v>
      </c>
      <c r="D13" s="51" t="s">
        <v>423</v>
      </c>
      <c r="E13" s="16" t="s">
        <v>424</v>
      </c>
      <c r="F13" s="22" t="s">
        <v>425</v>
      </c>
    </row>
    <row r="14" spans="2:6" ht="30" customHeight="1" x14ac:dyDescent="0.3">
      <c r="B14" s="18" t="s">
        <v>426</v>
      </c>
      <c r="C14" s="16" t="s">
        <v>427</v>
      </c>
      <c r="D14" s="51" t="s">
        <v>423</v>
      </c>
      <c r="E14" s="16" t="s">
        <v>428</v>
      </c>
      <c r="F14" s="22" t="s">
        <v>429</v>
      </c>
    </row>
    <row r="15" spans="2:6" ht="30" customHeight="1" x14ac:dyDescent="0.3">
      <c r="B15" s="18" t="s">
        <v>430</v>
      </c>
      <c r="C15" s="16" t="s">
        <v>431</v>
      </c>
      <c r="D15" s="33" t="s">
        <v>191</v>
      </c>
      <c r="E15" s="16" t="s">
        <v>432</v>
      </c>
      <c r="F15" s="22" t="s">
        <v>433</v>
      </c>
    </row>
    <row r="16" spans="2:6" ht="30" customHeight="1" x14ac:dyDescent="0.3">
      <c r="B16" s="18" t="s">
        <v>434</v>
      </c>
      <c r="C16" s="16" t="s">
        <v>435</v>
      </c>
      <c r="D16" s="33" t="s">
        <v>436</v>
      </c>
      <c r="E16" s="16" t="s">
        <v>437</v>
      </c>
      <c r="F16" s="22" t="s">
        <v>438</v>
      </c>
    </row>
    <row r="17" spans="2:6" ht="30" customHeight="1" x14ac:dyDescent="0.3">
      <c r="B17" s="18" t="s">
        <v>439</v>
      </c>
      <c r="C17" s="16" t="s">
        <v>440</v>
      </c>
      <c r="D17" s="33" t="s">
        <v>168</v>
      </c>
      <c r="E17" s="16" t="s">
        <v>441</v>
      </c>
      <c r="F17" s="22" t="s">
        <v>442</v>
      </c>
    </row>
    <row r="18" spans="2:6" ht="30" customHeight="1" x14ac:dyDescent="0.3">
      <c r="B18" s="18" t="s">
        <v>443</v>
      </c>
      <c r="C18" s="16" t="s">
        <v>372</v>
      </c>
      <c r="D18" s="51" t="s">
        <v>423</v>
      </c>
      <c r="E18" s="16" t="s">
        <v>444</v>
      </c>
      <c r="F18" s="22" t="s">
        <v>445</v>
      </c>
    </row>
    <row r="19" spans="2:6" ht="30" customHeight="1" x14ac:dyDescent="0.3">
      <c r="B19" s="18" t="s">
        <v>343</v>
      </c>
      <c r="C19" s="16" t="s">
        <v>446</v>
      </c>
      <c r="D19" s="33" t="s">
        <v>436</v>
      </c>
      <c r="E19" s="16" t="s">
        <v>344</v>
      </c>
      <c r="F19" s="22" t="s">
        <v>447</v>
      </c>
    </row>
    <row r="20" spans="2:6" ht="30" customHeight="1" x14ac:dyDescent="0.3">
      <c r="B20" s="18" t="s">
        <v>448</v>
      </c>
      <c r="C20" s="16" t="s">
        <v>449</v>
      </c>
      <c r="D20" s="51" t="s">
        <v>423</v>
      </c>
      <c r="E20" s="16" t="s">
        <v>450</v>
      </c>
      <c r="F20" s="22" t="s">
        <v>451</v>
      </c>
    </row>
    <row r="21" spans="2:6" ht="30" customHeight="1" x14ac:dyDescent="0.3">
      <c r="B21" s="18" t="s">
        <v>452</v>
      </c>
      <c r="C21" s="16" t="s">
        <v>101</v>
      </c>
      <c r="D21" s="32" t="s">
        <v>453</v>
      </c>
      <c r="E21" s="16" t="s">
        <v>101</v>
      </c>
      <c r="F21" s="22" t="s">
        <v>101</v>
      </c>
    </row>
    <row r="22" spans="2:6" ht="30" customHeight="1" x14ac:dyDescent="0.3">
      <c r="B22" s="18" t="s">
        <v>454</v>
      </c>
      <c r="C22" s="16" t="s">
        <v>101</v>
      </c>
      <c r="D22" s="32" t="s">
        <v>453</v>
      </c>
      <c r="E22" s="16" t="s">
        <v>101</v>
      </c>
      <c r="F22" s="22" t="s">
        <v>101</v>
      </c>
    </row>
    <row r="30" spans="2:6" ht="30" customHeight="1" x14ac:dyDescent="0.3">
      <c r="B30" s="18" t="s">
        <v>455</v>
      </c>
      <c r="C30" s="16" t="s">
        <v>101</v>
      </c>
      <c r="D30" s="32" t="s">
        <v>453</v>
      </c>
      <c r="E30" s="16" t="s">
        <v>456</v>
      </c>
      <c r="F30" s="22" t="s">
        <v>101</v>
      </c>
    </row>
  </sheetData>
  <mergeCells count="6">
    <mergeCell ref="B11:F11"/>
    <mergeCell ref="B5:F5"/>
    <mergeCell ref="B6:F6"/>
    <mergeCell ref="B7:F7"/>
    <mergeCell ref="B8:F8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17"/>
  <sheetViews>
    <sheetView showGridLines="0" topLeftCell="A9" zoomScaleNormal="100" workbookViewId="0"/>
  </sheetViews>
  <sheetFormatPr defaultColWidth="8.6640625" defaultRowHeight="14.4" x14ac:dyDescent="0.3"/>
  <cols>
    <col min="1" max="1" width="3" customWidth="1"/>
    <col min="2" max="2" width="7" customWidth="1"/>
    <col min="3" max="3" width="22" customWidth="1"/>
    <col min="4" max="4" width="34" customWidth="1"/>
    <col min="5" max="5" width="14" customWidth="1"/>
    <col min="6" max="6" width="20" customWidth="1"/>
    <col min="7" max="7" width="11" customWidth="1"/>
    <col min="8" max="8" width="34" customWidth="1"/>
    <col min="9" max="10" width="30" customWidth="1"/>
  </cols>
  <sheetData>
    <row r="2" spans="2:10" ht="19.5" customHeight="1" x14ac:dyDescent="0.4">
      <c r="B2" s="19" t="s">
        <v>457</v>
      </c>
    </row>
    <row r="3" spans="2:10" ht="15" customHeight="1" x14ac:dyDescent="0.3">
      <c r="B3" s="14" t="s">
        <v>458</v>
      </c>
    </row>
    <row r="5" spans="2:10" ht="15" customHeight="1" x14ac:dyDescent="0.3">
      <c r="B5" s="20" t="s">
        <v>112</v>
      </c>
      <c r="C5" s="20" t="s">
        <v>459</v>
      </c>
      <c r="D5" s="20" t="s">
        <v>460</v>
      </c>
      <c r="E5" s="20" t="s">
        <v>461</v>
      </c>
      <c r="F5" s="20" t="s">
        <v>462</v>
      </c>
      <c r="G5" s="20" t="s">
        <v>463</v>
      </c>
      <c r="H5" s="20" t="s">
        <v>464</v>
      </c>
      <c r="I5" s="20" t="s">
        <v>465</v>
      </c>
      <c r="J5" s="20" t="s">
        <v>466</v>
      </c>
    </row>
    <row r="6" spans="2:10" ht="45.75" customHeight="1" x14ac:dyDescent="0.3">
      <c r="B6" s="39" t="s">
        <v>467</v>
      </c>
      <c r="C6" s="18" t="s">
        <v>468</v>
      </c>
      <c r="D6" s="16" t="s">
        <v>469</v>
      </c>
      <c r="E6" s="26" t="s">
        <v>470</v>
      </c>
      <c r="F6" s="16" t="s">
        <v>471</v>
      </c>
      <c r="G6" s="32" t="s">
        <v>157</v>
      </c>
      <c r="H6" s="22" t="s">
        <v>472</v>
      </c>
      <c r="I6" s="16" t="s">
        <v>473</v>
      </c>
      <c r="J6" s="54" t="s">
        <v>474</v>
      </c>
    </row>
    <row r="7" spans="2:10" ht="45.75" customHeight="1" x14ac:dyDescent="0.3">
      <c r="B7" s="39" t="s">
        <v>475</v>
      </c>
      <c r="C7" s="18" t="s">
        <v>476</v>
      </c>
      <c r="D7" s="16" t="s">
        <v>477</v>
      </c>
      <c r="E7" s="26" t="s">
        <v>478</v>
      </c>
      <c r="F7" s="16" t="s">
        <v>479</v>
      </c>
      <c r="G7" s="32" t="s">
        <v>157</v>
      </c>
      <c r="H7" s="22" t="s">
        <v>480</v>
      </c>
      <c r="I7" s="16" t="s">
        <v>481</v>
      </c>
      <c r="J7" s="54" t="s">
        <v>482</v>
      </c>
    </row>
    <row r="8" spans="2:10" ht="45.75" customHeight="1" x14ac:dyDescent="0.3">
      <c r="B8" s="39" t="s">
        <v>483</v>
      </c>
      <c r="C8" s="18" t="s">
        <v>484</v>
      </c>
      <c r="D8" s="16" t="s">
        <v>485</v>
      </c>
      <c r="E8" s="26" t="s">
        <v>486</v>
      </c>
      <c r="F8" s="16" t="s">
        <v>487</v>
      </c>
      <c r="G8" s="32" t="s">
        <v>157</v>
      </c>
      <c r="H8" s="22" t="s">
        <v>488</v>
      </c>
      <c r="I8" s="16" t="s">
        <v>489</v>
      </c>
      <c r="J8" s="54" t="s">
        <v>490</v>
      </c>
    </row>
    <row r="9" spans="2:10" ht="45.75" customHeight="1" x14ac:dyDescent="0.3">
      <c r="B9" s="39" t="s">
        <v>491</v>
      </c>
      <c r="C9" s="18" t="s">
        <v>492</v>
      </c>
      <c r="D9" s="16" t="s">
        <v>493</v>
      </c>
      <c r="E9" s="26" t="s">
        <v>494</v>
      </c>
      <c r="F9" s="16" t="s">
        <v>495</v>
      </c>
      <c r="G9" s="33" t="s">
        <v>496</v>
      </c>
      <c r="H9" s="22" t="s">
        <v>497</v>
      </c>
      <c r="I9" s="16" t="s">
        <v>498</v>
      </c>
      <c r="J9" s="54" t="s">
        <v>499</v>
      </c>
    </row>
    <row r="10" spans="2:10" ht="45.75" customHeight="1" x14ac:dyDescent="0.3">
      <c r="B10" s="39" t="s">
        <v>500</v>
      </c>
      <c r="C10" s="18" t="s">
        <v>501</v>
      </c>
      <c r="D10" s="16" t="s">
        <v>502</v>
      </c>
      <c r="E10" s="26" t="s">
        <v>503</v>
      </c>
      <c r="F10" s="16" t="s">
        <v>504</v>
      </c>
      <c r="G10" s="33" t="s">
        <v>496</v>
      </c>
      <c r="H10" s="22" t="s">
        <v>505</v>
      </c>
      <c r="I10" s="16" t="s">
        <v>506</v>
      </c>
      <c r="J10" s="54" t="s">
        <v>507</v>
      </c>
    </row>
    <row r="12" spans="2:10" ht="19.5" customHeight="1" x14ac:dyDescent="0.3">
      <c r="B12" s="11" t="s">
        <v>508</v>
      </c>
      <c r="C12" s="11"/>
      <c r="D12" s="11"/>
      <c r="E12" s="11"/>
      <c r="F12" s="11"/>
      <c r="G12" s="11"/>
      <c r="H12" s="11"/>
      <c r="I12" s="11"/>
      <c r="J12" s="11"/>
    </row>
    <row r="13" spans="2:10" ht="15" customHeight="1" x14ac:dyDescent="0.3">
      <c r="B13" s="2" t="s">
        <v>509</v>
      </c>
      <c r="C13" s="2"/>
      <c r="D13" s="2"/>
      <c r="E13" s="3" t="s">
        <v>510</v>
      </c>
      <c r="F13" s="3"/>
      <c r="G13" s="3"/>
      <c r="H13" s="3"/>
      <c r="I13" s="3"/>
      <c r="J13" s="3"/>
    </row>
    <row r="14" spans="2:10" ht="15" customHeight="1" x14ac:dyDescent="0.3">
      <c r="B14" s="2" t="s">
        <v>511</v>
      </c>
      <c r="C14" s="2"/>
      <c r="D14" s="2"/>
      <c r="E14" s="3" t="s">
        <v>512</v>
      </c>
      <c r="F14" s="3"/>
      <c r="G14" s="3"/>
      <c r="H14" s="3"/>
      <c r="I14" s="3"/>
      <c r="J14" s="3"/>
    </row>
    <row r="15" spans="2:10" ht="15" customHeight="1" x14ac:dyDescent="0.3">
      <c r="B15" s="2" t="s">
        <v>513</v>
      </c>
      <c r="C15" s="2"/>
      <c r="D15" s="2"/>
      <c r="E15" s="3" t="s">
        <v>514</v>
      </c>
      <c r="F15" s="3"/>
      <c r="G15" s="3"/>
      <c r="H15" s="3"/>
      <c r="I15" s="3"/>
      <c r="J15" s="3"/>
    </row>
    <row r="16" spans="2:10" ht="15" customHeight="1" x14ac:dyDescent="0.3">
      <c r="B16" s="2" t="s">
        <v>515</v>
      </c>
      <c r="C16" s="2"/>
      <c r="D16" s="2"/>
      <c r="E16" s="3" t="s">
        <v>516</v>
      </c>
      <c r="F16" s="3"/>
      <c r="G16" s="3"/>
      <c r="H16" s="3"/>
      <c r="I16" s="3"/>
      <c r="J16" s="3"/>
    </row>
    <row r="17" spans="2:10" ht="15" customHeight="1" x14ac:dyDescent="0.3">
      <c r="B17" s="2" t="s">
        <v>517</v>
      </c>
      <c r="C17" s="2"/>
      <c r="D17" s="2"/>
      <c r="E17" s="3" t="s">
        <v>518</v>
      </c>
      <c r="F17" s="3"/>
      <c r="G17" s="3"/>
      <c r="H17" s="3"/>
      <c r="I17" s="3"/>
      <c r="J17" s="3"/>
    </row>
  </sheetData>
  <mergeCells count="11">
    <mergeCell ref="B15:D15"/>
    <mergeCell ref="E15:J15"/>
    <mergeCell ref="B16:D16"/>
    <mergeCell ref="E16:J16"/>
    <mergeCell ref="B17:D17"/>
    <mergeCell ref="E17:J17"/>
    <mergeCell ref="B12:J12"/>
    <mergeCell ref="B13:D13"/>
    <mergeCell ref="E13:J13"/>
    <mergeCell ref="B14:D14"/>
    <mergeCell ref="E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I25"/>
  <sheetViews>
    <sheetView showGridLines="0" topLeftCell="A9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5" width="13" customWidth="1"/>
    <col min="6" max="8" width="15" customWidth="1"/>
    <col min="9" max="9" width="40" customWidth="1"/>
  </cols>
  <sheetData>
    <row r="2" spans="2:9" ht="19.5" customHeight="1" x14ac:dyDescent="0.4">
      <c r="B2" s="19" t="s">
        <v>519</v>
      </c>
    </row>
    <row r="3" spans="2:9" ht="15" customHeight="1" x14ac:dyDescent="0.3">
      <c r="B3" s="14" t="s">
        <v>520</v>
      </c>
    </row>
    <row r="5" spans="2:9" ht="19.5" customHeight="1" x14ac:dyDescent="0.3">
      <c r="B5" s="11" t="s">
        <v>521</v>
      </c>
      <c r="C5" s="11"/>
      <c r="D5" s="11"/>
      <c r="E5" s="11"/>
      <c r="F5" s="11"/>
      <c r="G5" s="11"/>
      <c r="H5" s="11"/>
      <c r="I5" s="11"/>
    </row>
    <row r="6" spans="2:9" ht="15" customHeight="1" x14ac:dyDescent="0.3">
      <c r="B6" s="20" t="s">
        <v>522</v>
      </c>
      <c r="C6" s="20" t="s">
        <v>44</v>
      </c>
      <c r="D6" s="20"/>
      <c r="E6" s="20"/>
      <c r="F6" s="20"/>
      <c r="G6" s="20"/>
      <c r="H6" s="20"/>
      <c r="I6" s="20" t="s">
        <v>285</v>
      </c>
    </row>
    <row r="7" spans="2:9" ht="15" customHeight="1" x14ac:dyDescent="0.3">
      <c r="B7" s="18" t="s">
        <v>523</v>
      </c>
      <c r="C7" s="29">
        <v>0.2</v>
      </c>
      <c r="D7" s="16"/>
      <c r="E7" s="16"/>
      <c r="F7" s="16"/>
      <c r="G7" s="16"/>
      <c r="H7" s="16"/>
      <c r="I7" s="22" t="s">
        <v>524</v>
      </c>
    </row>
    <row r="8" spans="2:9" ht="15" customHeight="1" x14ac:dyDescent="0.3">
      <c r="B8" s="18" t="s">
        <v>525</v>
      </c>
      <c r="C8" s="29">
        <v>0.4</v>
      </c>
      <c r="D8" s="16"/>
      <c r="E8" s="16"/>
      <c r="F8" s="16"/>
      <c r="G8" s="16"/>
      <c r="H8" s="16"/>
      <c r="I8" s="22" t="s">
        <v>526</v>
      </c>
    </row>
    <row r="9" spans="2:9" ht="15" customHeight="1" x14ac:dyDescent="0.3">
      <c r="B9" s="18" t="s">
        <v>527</v>
      </c>
      <c r="C9" s="29">
        <v>0.6</v>
      </c>
      <c r="D9" s="16"/>
      <c r="E9" s="16"/>
      <c r="F9" s="16"/>
      <c r="G9" s="16"/>
      <c r="H9" s="16"/>
      <c r="I9" s="22" t="s">
        <v>528</v>
      </c>
    </row>
    <row r="10" spans="2:9" ht="23.25" customHeight="1" x14ac:dyDescent="0.3">
      <c r="B10" s="18" t="s">
        <v>529</v>
      </c>
      <c r="C10" s="29">
        <v>0.15</v>
      </c>
      <c r="D10" s="16"/>
      <c r="E10" s="16"/>
      <c r="F10" s="16"/>
      <c r="G10" s="16"/>
      <c r="H10" s="16"/>
      <c r="I10" s="22" t="s">
        <v>530</v>
      </c>
    </row>
    <row r="11" spans="2:9" ht="15" customHeight="1" x14ac:dyDescent="0.3">
      <c r="B11" s="18" t="s">
        <v>531</v>
      </c>
      <c r="C11" s="27">
        <v>1200</v>
      </c>
      <c r="D11" s="16"/>
      <c r="E11" s="16"/>
      <c r="F11" s="16"/>
      <c r="G11" s="16"/>
      <c r="H11" s="16"/>
      <c r="I11" s="22" t="s">
        <v>532</v>
      </c>
    </row>
    <row r="12" spans="2:9" ht="15" customHeight="1" x14ac:dyDescent="0.3">
      <c r="B12" s="18" t="s">
        <v>533</v>
      </c>
      <c r="C12" s="27">
        <v>10000</v>
      </c>
      <c r="D12" s="16"/>
      <c r="E12" s="16"/>
      <c r="F12" s="16"/>
      <c r="G12" s="16"/>
      <c r="H12" s="16"/>
      <c r="I12" s="22" t="s">
        <v>534</v>
      </c>
    </row>
    <row r="13" spans="2:9" ht="23.25" customHeight="1" x14ac:dyDescent="0.3">
      <c r="B13" s="18" t="s">
        <v>535</v>
      </c>
      <c r="C13" s="27">
        <v>941</v>
      </c>
      <c r="D13" s="16"/>
      <c r="E13" s="16"/>
      <c r="F13" s="16"/>
      <c r="G13" s="16"/>
      <c r="H13" s="16"/>
      <c r="I13" s="22" t="s">
        <v>536</v>
      </c>
    </row>
    <row r="14" spans="2:9" ht="15" customHeight="1" x14ac:dyDescent="0.3">
      <c r="B14" s="18" t="s">
        <v>537</v>
      </c>
      <c r="C14" s="29">
        <v>0.9</v>
      </c>
      <c r="D14" s="16"/>
      <c r="E14" s="16"/>
      <c r="F14" s="16"/>
      <c r="G14" s="16"/>
      <c r="H14" s="16"/>
      <c r="I14" s="22" t="s">
        <v>538</v>
      </c>
    </row>
    <row r="15" spans="2:9" ht="15" customHeight="1" x14ac:dyDescent="0.3">
      <c r="B15" s="18" t="s">
        <v>539</v>
      </c>
      <c r="C15" s="29">
        <v>0.35</v>
      </c>
      <c r="D15" s="16"/>
      <c r="E15" s="16"/>
      <c r="F15" s="16"/>
      <c r="G15" s="16"/>
      <c r="H15" s="16"/>
      <c r="I15" s="22" t="s">
        <v>540</v>
      </c>
    </row>
    <row r="17" spans="2:9" ht="19.5" customHeight="1" x14ac:dyDescent="0.3">
      <c r="B17" s="11" t="s">
        <v>541</v>
      </c>
      <c r="C17" s="11"/>
      <c r="D17" s="11"/>
      <c r="E17" s="11"/>
      <c r="F17" s="11"/>
      <c r="G17" s="11"/>
      <c r="H17" s="11"/>
      <c r="I17" s="11"/>
    </row>
    <row r="18" spans="2:9" ht="23.25" customHeight="1" x14ac:dyDescent="0.3">
      <c r="B18" s="20" t="s">
        <v>244</v>
      </c>
      <c r="C18" s="20" t="s">
        <v>542</v>
      </c>
      <c r="D18" s="20" t="s">
        <v>543</v>
      </c>
      <c r="E18" s="20" t="s">
        <v>544</v>
      </c>
      <c r="F18" s="20" t="s">
        <v>545</v>
      </c>
      <c r="G18" s="20" t="s">
        <v>546</v>
      </c>
      <c r="H18" s="20" t="s">
        <v>547</v>
      </c>
      <c r="I18" s="20" t="s">
        <v>45</v>
      </c>
    </row>
    <row r="19" spans="2:9" ht="15" customHeight="1" x14ac:dyDescent="0.3">
      <c r="B19" s="41" t="s">
        <v>214</v>
      </c>
      <c r="C19" s="27">
        <v>5363</v>
      </c>
      <c r="D19" s="28">
        <f>ROUND(C19*$C7,0)</f>
        <v>1073</v>
      </c>
      <c r="E19" s="28">
        <f>ROUND(D19*$C8*$C9,0)</f>
        <v>258</v>
      </c>
      <c r="F19" s="28">
        <f>ROUND(D19*$C13,0)</f>
        <v>1009693</v>
      </c>
      <c r="G19" s="28">
        <f>E19*$C10*$C12 + E19*(1-$C10)*$C11 + F19</f>
        <v>1659853</v>
      </c>
      <c r="H19" s="28">
        <f>ROUND(E19*$C14*$C15,0)</f>
        <v>81</v>
      </c>
      <c r="I19" s="22"/>
    </row>
    <row r="20" spans="2:9" ht="15" customHeight="1" x14ac:dyDescent="0.3">
      <c r="B20" s="41" t="s">
        <v>221</v>
      </c>
      <c r="C20" s="27">
        <v>8073</v>
      </c>
      <c r="D20" s="28">
        <f>ROUND(C20*$C7,0)</f>
        <v>1615</v>
      </c>
      <c r="E20" s="28">
        <f>ROUND(D20*$C8*$C9,0)</f>
        <v>388</v>
      </c>
      <c r="F20" s="28">
        <f>ROUND(D20*$C13,0)</f>
        <v>1519715</v>
      </c>
      <c r="G20" s="28">
        <f>E20*$C10*$C12 + E20*(1-$C10)*$C11 + F20</f>
        <v>2497475</v>
      </c>
      <c r="H20" s="28">
        <f>ROUND(E20*$C14*$C15,0)</f>
        <v>122</v>
      </c>
      <c r="I20" s="22"/>
    </row>
    <row r="21" spans="2:9" ht="15" customHeight="1" x14ac:dyDescent="0.3">
      <c r="B21" s="41" t="s">
        <v>228</v>
      </c>
      <c r="C21" s="27">
        <v>11988</v>
      </c>
      <c r="D21" s="28">
        <f>ROUND(C21*$C7,0)</f>
        <v>2398</v>
      </c>
      <c r="E21" s="28">
        <f>ROUND(D21*$C8*$C9,0)</f>
        <v>576</v>
      </c>
      <c r="F21" s="28">
        <f>ROUND(D21*$C13,0)</f>
        <v>2256518</v>
      </c>
      <c r="G21" s="28">
        <f>E21*$C10*$C12 + E21*(1-$C10)*$C11 + F21</f>
        <v>3708038</v>
      </c>
      <c r="H21" s="28">
        <f>ROUND(E21*$C14*$C15,0)</f>
        <v>181</v>
      </c>
      <c r="I21" s="22"/>
    </row>
    <row r="22" spans="2:9" ht="15" customHeight="1" x14ac:dyDescent="0.3">
      <c r="B22" s="41" t="s">
        <v>235</v>
      </c>
      <c r="C22" s="27">
        <v>13557</v>
      </c>
      <c r="D22" s="28">
        <f>ROUND(C22*$C7,0)</f>
        <v>2711</v>
      </c>
      <c r="E22" s="28">
        <f>ROUND(D22*$C8*$C9,0)</f>
        <v>651</v>
      </c>
      <c r="F22" s="28">
        <f>ROUND(D22*$C13,0)</f>
        <v>2551051</v>
      </c>
      <c r="G22" s="28">
        <f>E22*$C10*$C12 + E22*(1-$C10)*$C11 + F22</f>
        <v>4191571</v>
      </c>
      <c r="H22" s="28">
        <f>ROUND(E22*$C14*$C15,0)</f>
        <v>205</v>
      </c>
      <c r="I22" s="22"/>
    </row>
    <row r="23" spans="2:9" ht="23.25" customHeight="1" x14ac:dyDescent="0.3">
      <c r="B23" s="39" t="s">
        <v>241</v>
      </c>
      <c r="C23" s="30">
        <f t="shared" ref="C23:H23" si="0">SUM(C19:C22)</f>
        <v>38981</v>
      </c>
      <c r="D23" s="30">
        <f t="shared" si="0"/>
        <v>7797</v>
      </c>
      <c r="E23" s="30">
        <f t="shared" si="0"/>
        <v>1873</v>
      </c>
      <c r="F23" s="30">
        <f t="shared" si="0"/>
        <v>7336977</v>
      </c>
      <c r="G23" s="30">
        <f t="shared" si="0"/>
        <v>12056937</v>
      </c>
      <c r="H23" s="30">
        <f t="shared" si="0"/>
        <v>589</v>
      </c>
      <c r="I23" s="55" t="s">
        <v>548</v>
      </c>
    </row>
    <row r="25" spans="2:9" ht="31.5" customHeight="1" x14ac:dyDescent="0.3">
      <c r="B25" s="6" t="s">
        <v>549</v>
      </c>
      <c r="C25" s="6"/>
      <c r="D25" s="6"/>
      <c r="E25" s="6"/>
      <c r="F25" s="6"/>
      <c r="G25" s="6"/>
      <c r="H25" s="6"/>
      <c r="I25" s="6"/>
    </row>
  </sheetData>
  <mergeCells count="3">
    <mergeCell ref="B5:I5"/>
    <mergeCell ref="B17:I17"/>
    <mergeCell ref="B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33"/>
  <sheetViews>
    <sheetView showGridLines="0" topLeftCell="A23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3" width="14" customWidth="1"/>
    <col min="4" max="4" width="12" customWidth="1"/>
    <col min="5" max="5" width="16" customWidth="1"/>
    <col min="6" max="6" width="14" customWidth="1"/>
    <col min="7" max="8" width="13" customWidth="1"/>
    <col min="9" max="9" width="40" customWidth="1"/>
  </cols>
  <sheetData>
    <row r="2" spans="2:9" ht="21" x14ac:dyDescent="0.4">
      <c r="B2" s="19" t="s">
        <v>550</v>
      </c>
    </row>
    <row r="3" spans="2:9" x14ac:dyDescent="0.3">
      <c r="B3" s="14" t="s">
        <v>551</v>
      </c>
    </row>
    <row r="5" spans="2:9" ht="19.5" customHeight="1" x14ac:dyDescent="0.3">
      <c r="B5" s="11" t="s">
        <v>552</v>
      </c>
      <c r="C5" s="11"/>
      <c r="D5" s="11"/>
      <c r="E5" s="11"/>
      <c r="F5" s="11"/>
      <c r="G5" s="11"/>
      <c r="H5" s="11"/>
      <c r="I5" s="11"/>
    </row>
    <row r="6" spans="2:9" x14ac:dyDescent="0.3">
      <c r="B6" s="20" t="s">
        <v>43</v>
      </c>
      <c r="C6" s="20" t="s">
        <v>553</v>
      </c>
      <c r="D6" s="20"/>
      <c r="E6" s="20" t="s">
        <v>554</v>
      </c>
      <c r="F6" s="20"/>
      <c r="G6" s="20"/>
      <c r="H6" s="20"/>
      <c r="I6" s="20"/>
    </row>
    <row r="7" spans="2:9" ht="30" customHeight="1" x14ac:dyDescent="0.3">
      <c r="B7" s="18" t="s">
        <v>555</v>
      </c>
      <c r="C7" s="56">
        <v>87370</v>
      </c>
      <c r="D7" s="16"/>
      <c r="E7" s="3" t="s">
        <v>556</v>
      </c>
      <c r="F7" s="3"/>
      <c r="G7" s="3"/>
      <c r="H7" s="3"/>
      <c r="I7" s="3"/>
    </row>
    <row r="8" spans="2:9" ht="30" customHeight="1" x14ac:dyDescent="0.3">
      <c r="B8" s="18" t="s">
        <v>557</v>
      </c>
      <c r="C8" s="56">
        <v>242</v>
      </c>
      <c r="D8" s="16"/>
      <c r="E8" s="3" t="s">
        <v>558</v>
      </c>
      <c r="F8" s="3"/>
      <c r="G8" s="3"/>
      <c r="H8" s="3"/>
      <c r="I8" s="3"/>
    </row>
    <row r="9" spans="2:9" ht="30" customHeight="1" x14ac:dyDescent="0.3">
      <c r="B9" s="18" t="s">
        <v>559</v>
      </c>
      <c r="C9" s="57">
        <f>ROUND(C7/C8,0)</f>
        <v>361</v>
      </c>
      <c r="D9" s="16"/>
      <c r="E9" s="3" t="s">
        <v>560</v>
      </c>
      <c r="F9" s="3"/>
      <c r="G9" s="3"/>
      <c r="H9" s="3"/>
      <c r="I9" s="3"/>
    </row>
    <row r="10" spans="2:9" ht="30" customHeight="1" x14ac:dyDescent="0.3">
      <c r="B10" s="18" t="s">
        <v>561</v>
      </c>
      <c r="C10" s="56">
        <v>296</v>
      </c>
      <c r="D10" s="16"/>
      <c r="E10" s="3" t="s">
        <v>562</v>
      </c>
      <c r="F10" s="3"/>
      <c r="G10" s="3"/>
      <c r="H10" s="3"/>
      <c r="I10" s="3"/>
    </row>
    <row r="11" spans="2:9" ht="30" customHeight="1" x14ac:dyDescent="0.3">
      <c r="B11" s="18" t="s">
        <v>563</v>
      </c>
      <c r="C11" s="56">
        <v>39</v>
      </c>
      <c r="D11" s="16"/>
      <c r="E11" s="3" t="s">
        <v>564</v>
      </c>
      <c r="F11" s="3"/>
      <c r="G11" s="3"/>
      <c r="H11" s="3"/>
      <c r="I11" s="3"/>
    </row>
    <row r="12" spans="2:9" ht="30" customHeight="1" x14ac:dyDescent="0.3">
      <c r="B12" s="18" t="s">
        <v>565</v>
      </c>
      <c r="C12" s="56">
        <v>202000</v>
      </c>
      <c r="D12" s="16"/>
      <c r="E12" s="3" t="s">
        <v>566</v>
      </c>
      <c r="F12" s="3"/>
      <c r="G12" s="3"/>
      <c r="H12" s="3"/>
      <c r="I12" s="3"/>
    </row>
    <row r="13" spans="2:9" ht="30" customHeight="1" x14ac:dyDescent="0.3">
      <c r="B13" s="18" t="s">
        <v>567</v>
      </c>
      <c r="C13" s="56">
        <v>941</v>
      </c>
      <c r="D13" s="16"/>
      <c r="E13" s="3" t="s">
        <v>568</v>
      </c>
      <c r="F13" s="3"/>
      <c r="G13" s="3"/>
      <c r="H13" s="3"/>
      <c r="I13" s="3"/>
    </row>
    <row r="14" spans="2:9" ht="30" customHeight="1" x14ac:dyDescent="0.3">
      <c r="B14" s="18" t="s">
        <v>569</v>
      </c>
      <c r="C14" s="56">
        <v>4122</v>
      </c>
      <c r="D14" s="16"/>
      <c r="E14" s="3" t="s">
        <v>570</v>
      </c>
      <c r="F14" s="3"/>
      <c r="G14" s="3"/>
      <c r="H14" s="3"/>
      <c r="I14" s="3"/>
    </row>
    <row r="16" spans="2:9" ht="19.5" customHeight="1" x14ac:dyDescent="0.3">
      <c r="B16" s="11" t="s">
        <v>571</v>
      </c>
      <c r="C16" s="11"/>
      <c r="D16" s="11"/>
      <c r="E16" s="11"/>
      <c r="F16" s="11"/>
      <c r="G16" s="11"/>
      <c r="H16" s="11"/>
      <c r="I16" s="11"/>
    </row>
    <row r="17" spans="2:9" x14ac:dyDescent="0.3">
      <c r="B17" s="20" t="s">
        <v>284</v>
      </c>
      <c r="C17" s="20" t="s">
        <v>44</v>
      </c>
      <c r="D17" s="20"/>
      <c r="E17" s="20" t="s">
        <v>572</v>
      </c>
      <c r="F17" s="20"/>
      <c r="G17" s="20"/>
      <c r="H17" s="20"/>
      <c r="I17" s="20"/>
    </row>
    <row r="18" spans="2:9" ht="15" customHeight="1" x14ac:dyDescent="0.3">
      <c r="B18" s="18" t="s">
        <v>573</v>
      </c>
      <c r="C18" s="57">
        <f>C9</f>
        <v>361</v>
      </c>
      <c r="D18" s="16"/>
      <c r="E18" s="3" t="s">
        <v>574</v>
      </c>
      <c r="F18" s="3"/>
      <c r="G18" s="3"/>
      <c r="H18" s="3"/>
      <c r="I18" s="3"/>
    </row>
    <row r="19" spans="2:9" ht="15" customHeight="1" x14ac:dyDescent="0.3">
      <c r="B19" s="18" t="s">
        <v>575</v>
      </c>
      <c r="C19" s="57">
        <f>'04_Spend Capacity'!D52</f>
        <v>161</v>
      </c>
      <c r="D19" s="16"/>
      <c r="E19" s="3" t="s">
        <v>576</v>
      </c>
      <c r="F19" s="3"/>
      <c r="G19" s="3"/>
      <c r="H19" s="3"/>
      <c r="I19" s="3"/>
    </row>
    <row r="20" spans="2:9" ht="23.85" customHeight="1" x14ac:dyDescent="0.3">
      <c r="B20" s="18" t="s">
        <v>577</v>
      </c>
      <c r="C20" s="58">
        <f>'04_Spend Capacity'!H19*C18</f>
        <v>7834422</v>
      </c>
      <c r="D20" s="16"/>
      <c r="E20" s="3" t="s">
        <v>578</v>
      </c>
      <c r="F20" s="3"/>
      <c r="G20" s="3"/>
      <c r="H20" s="3"/>
      <c r="I20" s="3"/>
    </row>
    <row r="21" spans="2:9" ht="15" customHeight="1" x14ac:dyDescent="0.3">
      <c r="B21" s="18" t="s">
        <v>579</v>
      </c>
      <c r="C21" s="59">
        <f>'04_Spend Capacity'!D19</f>
        <v>3494022</v>
      </c>
      <c r="D21" s="16"/>
      <c r="E21" s="3" t="s">
        <v>580</v>
      </c>
      <c r="F21" s="3"/>
      <c r="G21" s="3"/>
      <c r="H21" s="3"/>
      <c r="I21" s="3"/>
    </row>
    <row r="22" spans="2:9" ht="30" customHeight="1" x14ac:dyDescent="0.3">
      <c r="B22" s="52" t="s">
        <v>581</v>
      </c>
      <c r="C22" s="31">
        <f>C20-C21</f>
        <v>4340400</v>
      </c>
      <c r="D22" s="60"/>
      <c r="E22" s="6" t="s">
        <v>582</v>
      </c>
      <c r="F22" s="6"/>
      <c r="G22" s="6"/>
      <c r="H22" s="6"/>
      <c r="I22" s="6"/>
    </row>
    <row r="24" spans="2:9" ht="19.5" customHeight="1" x14ac:dyDescent="0.3">
      <c r="B24" s="11" t="s">
        <v>583</v>
      </c>
      <c r="C24" s="11"/>
      <c r="D24" s="11"/>
      <c r="E24" s="11"/>
      <c r="F24" s="11"/>
      <c r="G24" s="11"/>
      <c r="H24" s="11"/>
      <c r="I24" s="11"/>
    </row>
    <row r="25" spans="2:9" ht="26.4" x14ac:dyDescent="0.3">
      <c r="B25" s="20" t="s">
        <v>584</v>
      </c>
      <c r="C25" s="20" t="s">
        <v>152</v>
      </c>
      <c r="D25" s="20" t="s">
        <v>585</v>
      </c>
      <c r="E25" s="20" t="s">
        <v>586</v>
      </c>
      <c r="F25" s="20" t="s">
        <v>587</v>
      </c>
      <c r="G25" s="20" t="s">
        <v>588</v>
      </c>
      <c r="H25" s="20" t="s">
        <v>589</v>
      </c>
      <c r="I25" s="20" t="s">
        <v>45</v>
      </c>
    </row>
    <row r="26" spans="2:9" ht="27.75" customHeight="1" x14ac:dyDescent="0.3">
      <c r="B26" s="18" t="s">
        <v>590</v>
      </c>
      <c r="C26" s="32" t="s">
        <v>453</v>
      </c>
      <c r="D26" s="27">
        <v>300</v>
      </c>
      <c r="E26" s="27">
        <v>200</v>
      </c>
      <c r="F26" s="43">
        <v>0</v>
      </c>
      <c r="G26" s="43">
        <v>0</v>
      </c>
      <c r="H26" s="28">
        <f t="shared" ref="H26:H31" si="0">IF(G26&gt;0,ROUND(F26/G26,0),0)</f>
        <v>0</v>
      </c>
      <c r="I26" s="22" t="s">
        <v>591</v>
      </c>
    </row>
    <row r="27" spans="2:9" ht="27.75" customHeight="1" x14ac:dyDescent="0.3">
      <c r="B27" s="18" t="s">
        <v>592</v>
      </c>
      <c r="C27" s="51" t="s">
        <v>423</v>
      </c>
      <c r="D27" s="27">
        <v>700</v>
      </c>
      <c r="E27" s="27">
        <v>145</v>
      </c>
      <c r="F27" s="43">
        <v>0</v>
      </c>
      <c r="G27" s="43">
        <v>0</v>
      </c>
      <c r="H27" s="28">
        <f t="shared" si="0"/>
        <v>0</v>
      </c>
      <c r="I27" s="22" t="s">
        <v>593</v>
      </c>
    </row>
    <row r="28" spans="2:9" ht="27.75" customHeight="1" x14ac:dyDescent="0.3">
      <c r="B28" s="18" t="s">
        <v>594</v>
      </c>
      <c r="C28" s="51" t="s">
        <v>423</v>
      </c>
      <c r="D28" s="27">
        <v>525</v>
      </c>
      <c r="E28" s="27">
        <v>160</v>
      </c>
      <c r="F28" s="43">
        <v>0</v>
      </c>
      <c r="G28" s="43">
        <v>0</v>
      </c>
      <c r="H28" s="28">
        <f t="shared" si="0"/>
        <v>0</v>
      </c>
      <c r="I28" s="22" t="s">
        <v>595</v>
      </c>
    </row>
    <row r="29" spans="2:9" ht="27.75" customHeight="1" x14ac:dyDescent="0.3">
      <c r="B29" s="18" t="s">
        <v>596</v>
      </c>
      <c r="C29" s="33" t="s">
        <v>597</v>
      </c>
      <c r="D29" s="27">
        <v>525</v>
      </c>
      <c r="E29" s="27">
        <v>120</v>
      </c>
      <c r="F29" s="43">
        <v>0</v>
      </c>
      <c r="G29" s="43">
        <v>0</v>
      </c>
      <c r="H29" s="28">
        <f t="shared" si="0"/>
        <v>0</v>
      </c>
      <c r="I29" s="22" t="s">
        <v>598</v>
      </c>
    </row>
    <row r="30" spans="2:9" ht="27.75" customHeight="1" x14ac:dyDescent="0.3">
      <c r="B30" s="18" t="s">
        <v>599</v>
      </c>
      <c r="C30" s="32" t="s">
        <v>453</v>
      </c>
      <c r="D30" s="27">
        <v>375</v>
      </c>
      <c r="E30" s="27">
        <v>40</v>
      </c>
      <c r="F30" s="43">
        <v>0</v>
      </c>
      <c r="G30" s="43">
        <v>0</v>
      </c>
      <c r="H30" s="28">
        <f t="shared" si="0"/>
        <v>0</v>
      </c>
      <c r="I30" s="22" t="s">
        <v>600</v>
      </c>
    </row>
    <row r="31" spans="2:9" ht="27.75" customHeight="1" x14ac:dyDescent="0.3">
      <c r="B31" s="18" t="s">
        <v>601</v>
      </c>
      <c r="C31" s="33" t="s">
        <v>168</v>
      </c>
      <c r="D31" s="27">
        <v>375</v>
      </c>
      <c r="E31" s="27">
        <v>60</v>
      </c>
      <c r="F31" s="43">
        <v>0</v>
      </c>
      <c r="G31" s="43">
        <v>0</v>
      </c>
      <c r="H31" s="28">
        <f t="shared" si="0"/>
        <v>0</v>
      </c>
      <c r="I31" s="22" t="s">
        <v>602</v>
      </c>
    </row>
    <row r="33" spans="2:9" ht="33.75" customHeight="1" x14ac:dyDescent="0.3">
      <c r="B33" s="10" t="s">
        <v>603</v>
      </c>
      <c r="C33" s="10"/>
      <c r="D33" s="10"/>
      <c r="E33" s="10"/>
      <c r="F33" s="10"/>
      <c r="G33" s="10"/>
      <c r="H33" s="10"/>
      <c r="I33" s="10"/>
    </row>
  </sheetData>
  <mergeCells count="17">
    <mergeCell ref="B24:I24"/>
    <mergeCell ref="B33:I33"/>
    <mergeCell ref="E18:I18"/>
    <mergeCell ref="E19:I19"/>
    <mergeCell ref="E20:I20"/>
    <mergeCell ref="E21:I21"/>
    <mergeCell ref="E22:I22"/>
    <mergeCell ref="E11:I11"/>
    <mergeCell ref="E12:I12"/>
    <mergeCell ref="E13:I13"/>
    <mergeCell ref="E14:I14"/>
    <mergeCell ref="B16:I16"/>
    <mergeCell ref="B5:I5"/>
    <mergeCell ref="E7:I7"/>
    <mergeCell ref="E8:I8"/>
    <mergeCell ref="E9:I9"/>
    <mergeCell ref="E10:I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H26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6" width="12" customWidth="1"/>
    <col min="7" max="7" width="13" customWidth="1"/>
    <col min="8" max="8" width="50" customWidth="1"/>
  </cols>
  <sheetData>
    <row r="2" spans="2:8" ht="19.5" customHeight="1" x14ac:dyDescent="0.4">
      <c r="B2" s="19" t="s">
        <v>604</v>
      </c>
    </row>
    <row r="3" spans="2:8" ht="15" customHeight="1" x14ac:dyDescent="0.3">
      <c r="B3" s="14" t="s">
        <v>605</v>
      </c>
    </row>
    <row r="5" spans="2:8" ht="19.5" customHeight="1" x14ac:dyDescent="0.3">
      <c r="B5" s="11" t="s">
        <v>606</v>
      </c>
      <c r="C5" s="11"/>
      <c r="D5" s="11"/>
      <c r="E5" s="11"/>
      <c r="F5" s="11"/>
      <c r="G5" s="11"/>
      <c r="H5" s="11"/>
    </row>
    <row r="6" spans="2:8" ht="23.25" customHeight="1" x14ac:dyDescent="0.3">
      <c r="B6" s="20" t="s">
        <v>139</v>
      </c>
      <c r="C6" s="20" t="s">
        <v>114</v>
      </c>
      <c r="D6" s="20" t="s">
        <v>607</v>
      </c>
      <c r="E6" s="20" t="s">
        <v>115</v>
      </c>
      <c r="F6" s="20" t="s">
        <v>608</v>
      </c>
      <c r="G6" s="20" t="s">
        <v>609</v>
      </c>
      <c r="H6" s="20" t="s">
        <v>610</v>
      </c>
    </row>
    <row r="7" spans="2:8" ht="30" customHeight="1" x14ac:dyDescent="0.3">
      <c r="B7" s="18" t="s">
        <v>120</v>
      </c>
      <c r="C7" s="28">
        <v>1000</v>
      </c>
      <c r="D7" s="28">
        <v>200</v>
      </c>
      <c r="E7" s="28">
        <v>200000</v>
      </c>
      <c r="F7" s="26" t="s">
        <v>611</v>
      </c>
      <c r="G7" s="26" t="s">
        <v>612</v>
      </c>
      <c r="H7" s="22" t="s">
        <v>613</v>
      </c>
    </row>
    <row r="8" spans="2:8" ht="30" customHeight="1" x14ac:dyDescent="0.3">
      <c r="B8" s="18" t="s">
        <v>146</v>
      </c>
      <c r="C8" s="28">
        <v>1000</v>
      </c>
      <c r="D8" s="28">
        <v>200</v>
      </c>
      <c r="E8" s="28">
        <v>200000</v>
      </c>
      <c r="F8" s="26" t="s">
        <v>614</v>
      </c>
      <c r="G8" s="26" t="s">
        <v>615</v>
      </c>
      <c r="H8" s="22" t="s">
        <v>616</v>
      </c>
    </row>
    <row r="9" spans="2:8" ht="30" customHeight="1" x14ac:dyDescent="0.3">
      <c r="B9" s="18" t="s">
        <v>124</v>
      </c>
      <c r="C9" s="28">
        <v>500</v>
      </c>
      <c r="D9" s="28">
        <v>100</v>
      </c>
      <c r="E9" s="28">
        <v>100000</v>
      </c>
      <c r="F9" s="26" t="s">
        <v>617</v>
      </c>
      <c r="G9" s="26" t="s">
        <v>618</v>
      </c>
      <c r="H9" s="22" t="s">
        <v>619</v>
      </c>
    </row>
    <row r="11" spans="2:8" ht="19.5" customHeight="1" x14ac:dyDescent="0.3">
      <c r="B11" s="11" t="s">
        <v>620</v>
      </c>
      <c r="C11" s="11"/>
      <c r="D11" s="11"/>
      <c r="E11" s="11"/>
      <c r="F11" s="11"/>
      <c r="G11" s="11"/>
      <c r="H11" s="11"/>
    </row>
    <row r="12" spans="2:8" ht="15" customHeight="1" x14ac:dyDescent="0.3">
      <c r="B12" s="20" t="s">
        <v>621</v>
      </c>
      <c r="C12" s="20" t="s">
        <v>214</v>
      </c>
      <c r="D12" s="20" t="s">
        <v>221</v>
      </c>
      <c r="E12" s="20" t="s">
        <v>228</v>
      </c>
      <c r="F12" s="20" t="s">
        <v>235</v>
      </c>
      <c r="G12" s="20" t="s">
        <v>622</v>
      </c>
      <c r="H12" s="20" t="s">
        <v>623</v>
      </c>
    </row>
    <row r="13" spans="2:8" ht="23.25" customHeight="1" x14ac:dyDescent="0.3">
      <c r="B13" s="18" t="s">
        <v>624</v>
      </c>
      <c r="C13" s="27">
        <v>1125</v>
      </c>
      <c r="D13" s="27">
        <v>1285</v>
      </c>
      <c r="E13" s="27">
        <v>2811</v>
      </c>
      <c r="F13" s="27">
        <v>3093</v>
      </c>
      <c r="G13" s="57">
        <f>SUM(C13:F13)</f>
        <v>8314</v>
      </c>
      <c r="H13" s="22" t="s">
        <v>625</v>
      </c>
    </row>
    <row r="14" spans="2:8" ht="23.25" customHeight="1" x14ac:dyDescent="0.3">
      <c r="B14" s="18" t="s">
        <v>626</v>
      </c>
      <c r="C14" s="27">
        <v>1807</v>
      </c>
      <c r="D14" s="27">
        <v>2008</v>
      </c>
      <c r="E14" s="27">
        <v>2209</v>
      </c>
      <c r="F14" s="27">
        <v>2410</v>
      </c>
      <c r="G14" s="57">
        <f>SUM(C14:F14)</f>
        <v>8434</v>
      </c>
      <c r="H14" s="22" t="s">
        <v>627</v>
      </c>
    </row>
    <row r="15" spans="2:8" ht="23.25" customHeight="1" x14ac:dyDescent="0.3">
      <c r="B15" s="18" t="s">
        <v>628</v>
      </c>
      <c r="C15" s="27">
        <v>0</v>
      </c>
      <c r="D15" s="27">
        <v>964</v>
      </c>
      <c r="E15" s="27">
        <v>1687</v>
      </c>
      <c r="F15" s="27">
        <v>1928</v>
      </c>
      <c r="G15" s="57">
        <f>SUM(C15:F15)</f>
        <v>4579</v>
      </c>
      <c r="H15" s="22" t="s">
        <v>629</v>
      </c>
    </row>
    <row r="16" spans="2:8" ht="23.25" customHeight="1" x14ac:dyDescent="0.3">
      <c r="B16" s="18" t="s">
        <v>630</v>
      </c>
      <c r="C16" s="27">
        <v>643</v>
      </c>
      <c r="D16" s="27">
        <v>1125</v>
      </c>
      <c r="E16" s="27">
        <v>1285</v>
      </c>
      <c r="F16" s="27">
        <v>1607</v>
      </c>
      <c r="G16" s="57">
        <f>SUM(C16:F16)</f>
        <v>4660</v>
      </c>
      <c r="H16" s="22" t="s">
        <v>631</v>
      </c>
    </row>
    <row r="17" spans="2:8" ht="15" customHeight="1" x14ac:dyDescent="0.3">
      <c r="B17" s="34" t="s">
        <v>632</v>
      </c>
      <c r="C17" s="30">
        <f>SUM(C13:C16)</f>
        <v>3575</v>
      </c>
      <c r="D17" s="30">
        <f>SUM(D13:D16)</f>
        <v>5382</v>
      </c>
      <c r="E17" s="30">
        <f>SUM(E13:E16)</f>
        <v>7992</v>
      </c>
      <c r="F17" s="30">
        <f>SUM(F13:F16)</f>
        <v>9038</v>
      </c>
      <c r="G17" s="30">
        <f>SUM(G13:G16)</f>
        <v>25987</v>
      </c>
      <c r="H17" s="61" t="s">
        <v>633</v>
      </c>
    </row>
    <row r="19" spans="2:8" ht="39.75" customHeight="1" x14ac:dyDescent="0.3">
      <c r="B19" s="10" t="s">
        <v>634</v>
      </c>
      <c r="C19" s="10"/>
      <c r="D19" s="10"/>
      <c r="E19" s="10"/>
      <c r="F19" s="10"/>
      <c r="G19" s="10"/>
      <c r="H19" s="10"/>
    </row>
    <row r="21" spans="2:8" ht="19.5" customHeight="1" x14ac:dyDescent="0.3">
      <c r="B21" s="11" t="s">
        <v>635</v>
      </c>
      <c r="C21" s="11"/>
      <c r="D21" s="11"/>
      <c r="E21" s="11"/>
      <c r="F21" s="11"/>
      <c r="G21" s="11"/>
      <c r="H21" s="11"/>
    </row>
    <row r="22" spans="2:8" ht="15" customHeight="1" x14ac:dyDescent="0.3">
      <c r="B22" s="20" t="s">
        <v>636</v>
      </c>
      <c r="C22" s="20"/>
      <c r="D22" s="20" t="s">
        <v>637</v>
      </c>
      <c r="E22" s="20"/>
      <c r="F22" s="20"/>
      <c r="G22" s="20"/>
      <c r="H22" s="20"/>
    </row>
    <row r="23" spans="2:8" ht="15" customHeight="1" x14ac:dyDescent="0.3">
      <c r="B23" s="2" t="s">
        <v>638</v>
      </c>
      <c r="C23" s="2"/>
      <c r="D23" s="3" t="s">
        <v>639</v>
      </c>
      <c r="E23" s="3"/>
      <c r="F23" s="3"/>
      <c r="G23" s="3"/>
      <c r="H23" s="3"/>
    </row>
    <row r="24" spans="2:8" ht="15" customHeight="1" x14ac:dyDescent="0.3">
      <c r="B24" s="2" t="s">
        <v>640</v>
      </c>
      <c r="C24" s="2"/>
      <c r="D24" s="3" t="s">
        <v>641</v>
      </c>
      <c r="E24" s="3"/>
      <c r="F24" s="3"/>
      <c r="G24" s="3"/>
      <c r="H24" s="3"/>
    </row>
    <row r="25" spans="2:8" ht="15" customHeight="1" x14ac:dyDescent="0.3">
      <c r="B25" s="2" t="s">
        <v>642</v>
      </c>
      <c r="C25" s="2"/>
      <c r="D25" s="3" t="s">
        <v>643</v>
      </c>
      <c r="E25" s="3"/>
      <c r="F25" s="3"/>
      <c r="G25" s="3"/>
      <c r="H25" s="3"/>
    </row>
    <row r="26" spans="2:8" ht="15" customHeight="1" x14ac:dyDescent="0.3">
      <c r="B26" s="2" t="s">
        <v>644</v>
      </c>
      <c r="C26" s="2"/>
      <c r="D26" s="3" t="s">
        <v>645</v>
      </c>
      <c r="E26" s="3"/>
      <c r="F26" s="3"/>
      <c r="G26" s="3"/>
      <c r="H26" s="3"/>
    </row>
  </sheetData>
  <mergeCells count="12">
    <mergeCell ref="B24:C24"/>
    <mergeCell ref="D24:H24"/>
    <mergeCell ref="B25:C25"/>
    <mergeCell ref="D25:H25"/>
    <mergeCell ref="B26:C26"/>
    <mergeCell ref="D26:H26"/>
    <mergeCell ref="B5:H5"/>
    <mergeCell ref="B11:H11"/>
    <mergeCell ref="B19:H19"/>
    <mergeCell ref="B21:H21"/>
    <mergeCell ref="B23:C23"/>
    <mergeCell ref="D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D42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4" customWidth="1"/>
    <col min="3" max="3" width="30" customWidth="1"/>
    <col min="4" max="4" width="50" customWidth="1"/>
  </cols>
  <sheetData>
    <row r="2" spans="2:4" ht="19.5" customHeight="1" x14ac:dyDescent="0.4">
      <c r="B2" s="19" t="s">
        <v>646</v>
      </c>
    </row>
    <row r="4" spans="2:4" ht="19.5" customHeight="1" x14ac:dyDescent="0.3">
      <c r="B4" s="11" t="s">
        <v>647</v>
      </c>
      <c r="C4" s="11"/>
      <c r="D4" s="11"/>
    </row>
    <row r="5" spans="2:4" ht="15" customHeight="1" x14ac:dyDescent="0.3">
      <c r="B5" s="20" t="s">
        <v>648</v>
      </c>
      <c r="C5" s="20" t="s">
        <v>609</v>
      </c>
      <c r="D5" s="20" t="s">
        <v>649</v>
      </c>
    </row>
    <row r="6" spans="2:4" ht="15" customHeight="1" x14ac:dyDescent="0.3">
      <c r="B6" s="18" t="s">
        <v>46</v>
      </c>
      <c r="C6" s="16" t="s">
        <v>650</v>
      </c>
      <c r="D6" s="22" t="s">
        <v>651</v>
      </c>
    </row>
    <row r="7" spans="2:4" ht="15" customHeight="1" x14ac:dyDescent="0.3">
      <c r="B7" s="18" t="s">
        <v>652</v>
      </c>
      <c r="C7" s="16" t="s">
        <v>653</v>
      </c>
      <c r="D7" s="22" t="s">
        <v>654</v>
      </c>
    </row>
    <row r="8" spans="2:4" ht="15" customHeight="1" x14ac:dyDescent="0.3">
      <c r="B8" s="18" t="s">
        <v>655</v>
      </c>
      <c r="C8" s="16" t="s">
        <v>656</v>
      </c>
      <c r="D8" s="22" t="s">
        <v>657</v>
      </c>
    </row>
    <row r="9" spans="2:4" ht="15" customHeight="1" x14ac:dyDescent="0.3">
      <c r="B9" s="18" t="s">
        <v>658</v>
      </c>
      <c r="C9" s="16" t="s">
        <v>659</v>
      </c>
      <c r="D9" s="22" t="s">
        <v>660</v>
      </c>
    </row>
    <row r="10" spans="2:4" ht="15" customHeight="1" x14ac:dyDescent="0.3">
      <c r="B10" s="18" t="s">
        <v>661</v>
      </c>
      <c r="C10" s="16" t="s">
        <v>662</v>
      </c>
      <c r="D10" s="22" t="s">
        <v>663</v>
      </c>
    </row>
    <row r="11" spans="2:4" ht="15" customHeight="1" x14ac:dyDescent="0.3">
      <c r="B11" s="18" t="s">
        <v>664</v>
      </c>
      <c r="C11" s="16" t="s">
        <v>665</v>
      </c>
      <c r="D11" s="22" t="s">
        <v>666</v>
      </c>
    </row>
    <row r="12" spans="2:4" ht="15" customHeight="1" x14ac:dyDescent="0.3">
      <c r="B12" s="18" t="s">
        <v>667</v>
      </c>
      <c r="C12" s="16" t="s">
        <v>668</v>
      </c>
      <c r="D12" s="22" t="s">
        <v>669</v>
      </c>
    </row>
    <row r="13" spans="2:4" ht="15" customHeight="1" x14ac:dyDescent="0.3">
      <c r="B13" s="18" t="s">
        <v>670</v>
      </c>
      <c r="C13" s="16" t="s">
        <v>671</v>
      </c>
      <c r="D13" s="22" t="s">
        <v>672</v>
      </c>
    </row>
    <row r="15" spans="2:4" ht="19.5" customHeight="1" x14ac:dyDescent="0.3">
      <c r="B15" s="11" t="s">
        <v>673</v>
      </c>
      <c r="C15" s="11"/>
      <c r="D15" s="11"/>
    </row>
    <row r="16" spans="2:4" ht="15" customHeight="1" x14ac:dyDescent="0.3">
      <c r="B16" s="20" t="s">
        <v>637</v>
      </c>
      <c r="C16" s="20" t="s">
        <v>636</v>
      </c>
      <c r="D16" s="20" t="s">
        <v>674</v>
      </c>
    </row>
    <row r="17" spans="2:4" ht="23.25" customHeight="1" x14ac:dyDescent="0.3">
      <c r="B17" s="18" t="s">
        <v>675</v>
      </c>
      <c r="C17" s="16" t="s">
        <v>676</v>
      </c>
      <c r="D17" s="22" t="s">
        <v>677</v>
      </c>
    </row>
    <row r="18" spans="2:4" ht="23.25" customHeight="1" x14ac:dyDescent="0.3">
      <c r="B18" s="18" t="s">
        <v>678</v>
      </c>
      <c r="C18" s="16" t="s">
        <v>679</v>
      </c>
      <c r="D18" s="22" t="s">
        <v>680</v>
      </c>
    </row>
    <row r="19" spans="2:4" ht="15" customHeight="1" x14ac:dyDescent="0.3">
      <c r="B19" s="18" t="s">
        <v>681</v>
      </c>
      <c r="C19" s="16" t="s">
        <v>682</v>
      </c>
      <c r="D19" s="22" t="s">
        <v>683</v>
      </c>
    </row>
    <row r="21" spans="2:4" ht="19.5" customHeight="1" x14ac:dyDescent="0.3">
      <c r="B21" s="11" t="s">
        <v>684</v>
      </c>
      <c r="C21" s="11"/>
      <c r="D21" s="11"/>
    </row>
    <row r="22" spans="2:4" ht="15" customHeight="1" x14ac:dyDescent="0.3">
      <c r="B22" s="20" t="s">
        <v>685</v>
      </c>
      <c r="C22" s="20" t="s">
        <v>686</v>
      </c>
      <c r="D22" s="20" t="s">
        <v>687</v>
      </c>
    </row>
    <row r="23" spans="2:4" ht="34.5" customHeight="1" x14ac:dyDescent="0.3">
      <c r="B23" s="18" t="s">
        <v>688</v>
      </c>
      <c r="C23" s="16" t="s">
        <v>689</v>
      </c>
      <c r="D23" s="22" t="s">
        <v>690</v>
      </c>
    </row>
    <row r="24" spans="2:4" ht="34.5" customHeight="1" x14ac:dyDescent="0.3">
      <c r="B24" s="18" t="s">
        <v>691</v>
      </c>
      <c r="C24" s="16" t="s">
        <v>692</v>
      </c>
      <c r="D24" s="22" t="s">
        <v>693</v>
      </c>
    </row>
    <row r="25" spans="2:4" ht="23.25" customHeight="1" x14ac:dyDescent="0.3">
      <c r="B25" s="18" t="s">
        <v>694</v>
      </c>
      <c r="C25" s="16" t="s">
        <v>695</v>
      </c>
      <c r="D25" s="22" t="s">
        <v>696</v>
      </c>
    </row>
    <row r="26" spans="2:4" ht="23.25" customHeight="1" x14ac:dyDescent="0.3">
      <c r="B26" s="18" t="s">
        <v>697</v>
      </c>
      <c r="C26" s="16" t="s">
        <v>698</v>
      </c>
      <c r="D26" s="22" t="s">
        <v>699</v>
      </c>
    </row>
    <row r="27" spans="2:4" ht="23.25" customHeight="1" x14ac:dyDescent="0.3">
      <c r="B27" s="18" t="s">
        <v>383</v>
      </c>
      <c r="C27" s="16" t="s">
        <v>700</v>
      </c>
      <c r="D27" s="22" t="s">
        <v>701</v>
      </c>
    </row>
    <row r="28" spans="2:4" ht="34.5" customHeight="1" x14ac:dyDescent="0.3">
      <c r="B28" s="18" t="s">
        <v>702</v>
      </c>
      <c r="C28" s="16" t="s">
        <v>703</v>
      </c>
      <c r="D28" s="22" t="s">
        <v>704</v>
      </c>
    </row>
    <row r="30" spans="2:4" ht="19.5" customHeight="1" x14ac:dyDescent="0.3">
      <c r="B30" s="11" t="s">
        <v>705</v>
      </c>
      <c r="C30" s="11"/>
      <c r="D30" s="11"/>
    </row>
    <row r="31" spans="2:4" ht="15" customHeight="1" x14ac:dyDescent="0.3">
      <c r="B31" s="20" t="s">
        <v>706</v>
      </c>
      <c r="C31" s="20" t="s">
        <v>707</v>
      </c>
      <c r="D31" s="20" t="s">
        <v>637</v>
      </c>
    </row>
    <row r="32" spans="2:4" ht="23.25" customHeight="1" x14ac:dyDescent="0.3">
      <c r="B32" s="32" t="s">
        <v>708</v>
      </c>
      <c r="C32" s="16" t="s">
        <v>709</v>
      </c>
      <c r="D32" s="22" t="s">
        <v>710</v>
      </c>
    </row>
    <row r="33" spans="2:4" ht="34.5" customHeight="1" x14ac:dyDescent="0.3">
      <c r="B33" s="33" t="s">
        <v>711</v>
      </c>
      <c r="C33" s="16" t="s">
        <v>712</v>
      </c>
      <c r="D33" s="22" t="s">
        <v>713</v>
      </c>
    </row>
    <row r="34" spans="2:4" ht="34.5" customHeight="1" x14ac:dyDescent="0.3">
      <c r="B34" s="37" t="s">
        <v>714</v>
      </c>
      <c r="C34" s="16" t="s">
        <v>715</v>
      </c>
      <c r="D34" s="22" t="s">
        <v>716</v>
      </c>
    </row>
    <row r="35" spans="2:4" ht="23.25" customHeight="1" x14ac:dyDescent="0.3">
      <c r="B35" s="51" t="s">
        <v>717</v>
      </c>
      <c r="C35" s="16" t="s">
        <v>718</v>
      </c>
      <c r="D35" s="22" t="s">
        <v>719</v>
      </c>
    </row>
    <row r="37" spans="2:4" ht="19.5" customHeight="1" x14ac:dyDescent="0.3">
      <c r="B37" s="11" t="s">
        <v>720</v>
      </c>
      <c r="C37" s="11"/>
      <c r="D37" s="11"/>
    </row>
    <row r="38" spans="2:4" ht="15" customHeight="1" x14ac:dyDescent="0.3">
      <c r="B38" s="8" t="s">
        <v>721</v>
      </c>
      <c r="C38" s="8"/>
      <c r="D38" s="8"/>
    </row>
    <row r="39" spans="2:4" ht="15" customHeight="1" x14ac:dyDescent="0.3">
      <c r="B39" s="8" t="s">
        <v>722</v>
      </c>
      <c r="C39" s="8"/>
      <c r="D39" s="8"/>
    </row>
    <row r="40" spans="2:4" ht="15" customHeight="1" x14ac:dyDescent="0.3">
      <c r="B40" s="8" t="s">
        <v>723</v>
      </c>
      <c r="C40" s="8"/>
      <c r="D40" s="8"/>
    </row>
    <row r="41" spans="2:4" ht="15" customHeight="1" x14ac:dyDescent="0.3">
      <c r="B41" s="8" t="s">
        <v>724</v>
      </c>
      <c r="C41" s="8"/>
      <c r="D41" s="8"/>
    </row>
    <row r="42" spans="2:4" ht="15" customHeight="1" x14ac:dyDescent="0.3">
      <c r="B42" s="8" t="s">
        <v>725</v>
      </c>
      <c r="C42" s="8"/>
      <c r="D42" s="8"/>
    </row>
  </sheetData>
  <mergeCells count="10">
    <mergeCell ref="B38:D38"/>
    <mergeCell ref="B39:D39"/>
    <mergeCell ref="B40:D40"/>
    <mergeCell ref="B41:D41"/>
    <mergeCell ref="B42:D42"/>
    <mergeCell ref="B4:D4"/>
    <mergeCell ref="B15:D15"/>
    <mergeCell ref="B21:D21"/>
    <mergeCell ref="B30:D30"/>
    <mergeCell ref="B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C22"/>
  <sheetViews>
    <sheetView showGridLines="0" zoomScaleNormal="100" workbookViewId="0">
      <selection activeCell="C13" sqref="C13"/>
    </sheetView>
  </sheetViews>
  <sheetFormatPr defaultColWidth="8.6640625" defaultRowHeight="14.4" x14ac:dyDescent="0.3"/>
  <cols>
    <col min="1" max="1" width="3" customWidth="1"/>
    <col min="2" max="2" width="36" customWidth="1"/>
    <col min="3" max="3" width="78" customWidth="1"/>
  </cols>
  <sheetData>
    <row r="2" spans="2:3" ht="21" x14ac:dyDescent="0.4">
      <c r="B2" s="19" t="s">
        <v>726</v>
      </c>
    </row>
    <row r="4" spans="2:3" ht="39.6" x14ac:dyDescent="0.3">
      <c r="B4" s="15" t="s">
        <v>727</v>
      </c>
      <c r="C4" s="16" t="s">
        <v>728</v>
      </c>
    </row>
    <row r="5" spans="2:3" ht="26.4" x14ac:dyDescent="0.3">
      <c r="B5" s="15" t="s">
        <v>729</v>
      </c>
      <c r="C5" s="16" t="s">
        <v>730</v>
      </c>
    </row>
    <row r="6" spans="2:3" ht="26.4" x14ac:dyDescent="0.3">
      <c r="B6" s="15" t="s">
        <v>731</v>
      </c>
      <c r="C6" s="16" t="s">
        <v>732</v>
      </c>
    </row>
    <row r="7" spans="2:3" ht="26.4" x14ac:dyDescent="0.3">
      <c r="B7" s="15" t="s">
        <v>733</v>
      </c>
      <c r="C7" s="16" t="s">
        <v>734</v>
      </c>
    </row>
    <row r="8" spans="2:3" ht="39.6" x14ac:dyDescent="0.3">
      <c r="B8" s="15" t="s">
        <v>735</v>
      </c>
      <c r="C8" s="16" t="s">
        <v>736</v>
      </c>
    </row>
    <row r="9" spans="2:3" x14ac:dyDescent="0.3">
      <c r="B9" s="15" t="s">
        <v>737</v>
      </c>
      <c r="C9" s="16" t="s">
        <v>738</v>
      </c>
    </row>
    <row r="10" spans="2:3" ht="26.4" x14ac:dyDescent="0.3">
      <c r="B10" s="15" t="s">
        <v>739</v>
      </c>
      <c r="C10" s="16" t="s">
        <v>740</v>
      </c>
    </row>
    <row r="11" spans="2:3" ht="26.4" x14ac:dyDescent="0.3">
      <c r="B11" s="15" t="s">
        <v>741</v>
      </c>
      <c r="C11" s="16" t="s">
        <v>742</v>
      </c>
    </row>
    <row r="12" spans="2:3" x14ac:dyDescent="0.3">
      <c r="B12" s="15" t="s">
        <v>743</v>
      </c>
      <c r="C12" s="16" t="s">
        <v>744</v>
      </c>
    </row>
    <row r="13" spans="2:3" ht="39.6" x14ac:dyDescent="0.3">
      <c r="B13" s="15" t="s">
        <v>745</v>
      </c>
      <c r="C13" s="16" t="s">
        <v>746</v>
      </c>
    </row>
    <row r="14" spans="2:3" ht="26.4" x14ac:dyDescent="0.3">
      <c r="B14" s="15" t="s">
        <v>747</v>
      </c>
      <c r="C14" s="16" t="s">
        <v>748</v>
      </c>
    </row>
    <row r="15" spans="2:3" ht="52.8" x14ac:dyDescent="0.3">
      <c r="B15" s="15" t="s">
        <v>749</v>
      </c>
      <c r="C15" s="16" t="s">
        <v>750</v>
      </c>
    </row>
    <row r="17" spans="2:3" x14ac:dyDescent="0.3">
      <c r="B17" s="11" t="s">
        <v>751</v>
      </c>
      <c r="C17" s="11"/>
    </row>
    <row r="18" spans="2:3" ht="26.4" x14ac:dyDescent="0.3">
      <c r="B18" s="15" t="s">
        <v>752</v>
      </c>
      <c r="C18" s="16" t="s">
        <v>753</v>
      </c>
    </row>
    <row r="19" spans="2:3" x14ac:dyDescent="0.3">
      <c r="B19" s="15" t="s">
        <v>754</v>
      </c>
      <c r="C19" s="16" t="s">
        <v>755</v>
      </c>
    </row>
    <row r="20" spans="2:3" ht="39.6" x14ac:dyDescent="0.3">
      <c r="B20" s="15" t="s">
        <v>756</v>
      </c>
      <c r="C20" s="16" t="s">
        <v>757</v>
      </c>
    </row>
    <row r="21" spans="2:3" ht="26.4" x14ac:dyDescent="0.3">
      <c r="B21" s="15" t="s">
        <v>758</v>
      </c>
      <c r="C21" s="16" t="s">
        <v>759</v>
      </c>
    </row>
    <row r="22" spans="2:3" x14ac:dyDescent="0.3">
      <c r="B22" s="15" t="s">
        <v>760</v>
      </c>
      <c r="C22" s="16" t="s">
        <v>761</v>
      </c>
    </row>
  </sheetData>
  <mergeCells count="1">
    <mergeCell ref="B17:C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00_Cover</vt:lpstr>
      <vt:lpstr>01_Executive Summary</vt:lpstr>
      <vt:lpstr>02_Lane Model</vt:lpstr>
      <vt:lpstr>03_Readiness &amp; Gaps</vt:lpstr>
      <vt:lpstr>04_Spend Capacity</vt:lpstr>
      <vt:lpstr>05_12M Plan</vt:lpstr>
      <vt:lpstr>06_wearefast Unlocks</vt:lpstr>
      <vt:lpstr>07_Park Register</vt:lpstr>
      <vt:lpstr>08_Offer Lanes</vt:lpstr>
      <vt:lpstr>09_Commercial Model</vt:lpstr>
      <vt:lpstr>10_Actuals Tracker</vt:lpstr>
      <vt:lpstr>11_Clinic Capacity</vt:lpstr>
      <vt:lpstr>12_KPIs &amp; Governance</vt:lpstr>
      <vt:lpstr>13_Assumptions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Fahad Siddiqui</cp:lastModifiedBy>
  <cp:revision>0</cp:revision>
  <dcterms:created xsi:type="dcterms:W3CDTF">2026-07-02T07:49:46Z</dcterms:created>
  <dcterms:modified xsi:type="dcterms:W3CDTF">2026-07-02T09:29:37Z</dcterms:modified>
  <dc:language>en-US</dc:language>
</cp:coreProperties>
</file>